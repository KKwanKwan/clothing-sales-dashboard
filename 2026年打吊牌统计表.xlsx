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695" activeTab="3"/>
  </bookViews>
  <sheets>
    <sheet name="26年1月" sheetId="1" r:id="rId1"/>
    <sheet name="26年2月" sheetId="2" r:id="rId2"/>
    <sheet name="26年3月" sheetId="3" r:id="rId3"/>
    <sheet name="26年4月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<sst xmlns="http://schemas.openxmlformats.org/spreadsheetml/2006/main" count="1951" uniqueCount="75">
  <si>
    <r>
      <rPr>
        <b/>
        <sz val="11"/>
        <color rgb="FF08090C"/>
        <rFont val="宋体"/>
        <charset val="134"/>
      </rPr>
      <t>日期</t>
    </r>
  </si>
  <si>
    <t>类型</t>
  </si>
  <si>
    <r>
      <rPr>
        <b/>
        <sz val="11"/>
        <color rgb="FF08090C"/>
        <rFont val="宋体"/>
        <charset val="134"/>
      </rPr>
      <t>型号</t>
    </r>
  </si>
  <si>
    <t>型号#</t>
  </si>
  <si>
    <r>
      <rPr>
        <b/>
        <sz val="11"/>
        <color rgb="FF08090C"/>
        <rFont val="宋体"/>
        <charset val="134"/>
      </rPr>
      <t>目标数量</t>
    </r>
  </si>
  <si>
    <r>
      <rPr>
        <b/>
        <sz val="11"/>
        <color rgb="FF08090C"/>
        <rFont val="宋体"/>
        <charset val="134"/>
      </rPr>
      <t>实际数量</t>
    </r>
  </si>
  <si>
    <r>
      <rPr>
        <b/>
        <sz val="11"/>
        <color rgb="FF08090C"/>
        <rFont val="宋体"/>
        <charset val="134"/>
      </rPr>
      <t>差异数量</t>
    </r>
  </si>
  <si>
    <r>
      <rPr>
        <b/>
        <sz val="11"/>
        <color rgb="FF08090C"/>
        <rFont val="宋体"/>
        <charset val="134"/>
      </rPr>
      <t>历史库存</t>
    </r>
  </si>
  <si>
    <r>
      <rPr>
        <b/>
        <sz val="11"/>
        <color rgb="FF08090C"/>
        <rFont val="宋体"/>
        <charset val="134"/>
      </rPr>
      <t>状态</t>
    </r>
  </si>
  <si>
    <r>
      <rPr>
        <b/>
        <sz val="11"/>
        <color rgb="FF08090C"/>
        <rFont val="宋体"/>
        <charset val="134"/>
      </rPr>
      <t>小计</t>
    </r>
  </si>
  <si>
    <t>长袖</t>
  </si>
  <si>
    <t>987#</t>
  </si>
  <si>
    <t>已清</t>
  </si>
  <si>
    <t>962#</t>
  </si>
  <si>
    <t>988#</t>
  </si>
  <si>
    <t>992#</t>
  </si>
  <si>
    <t>625#</t>
  </si>
  <si>
    <t>632#</t>
  </si>
  <si>
    <t>1861#</t>
  </si>
  <si>
    <t>短袖</t>
  </si>
  <si>
    <t>859#</t>
  </si>
  <si>
    <t>851#</t>
  </si>
  <si>
    <t>865#</t>
  </si>
  <si>
    <t>866#</t>
  </si>
  <si>
    <t>880#</t>
  </si>
  <si>
    <t>896#</t>
  </si>
  <si>
    <t>978#</t>
  </si>
  <si>
    <t>965#</t>
  </si>
  <si>
    <t>985#</t>
  </si>
  <si>
    <t>6639#</t>
  </si>
  <si>
    <t>909#</t>
  </si>
  <si>
    <t>981#</t>
  </si>
  <si>
    <t>8839#</t>
  </si>
  <si>
    <t>991#</t>
  </si>
  <si>
    <t>963#</t>
  </si>
  <si>
    <t>840#</t>
  </si>
  <si>
    <t>809#</t>
  </si>
  <si>
    <t>835#</t>
  </si>
  <si>
    <t>813#</t>
  </si>
  <si>
    <t>订单不计入</t>
  </si>
  <si>
    <t>布料</t>
  </si>
  <si>
    <t>6312布</t>
  </si>
  <si>
    <t>莫代尔</t>
  </si>
  <si>
    <t>赛罗棉</t>
  </si>
  <si>
    <t>860#</t>
  </si>
  <si>
    <t>861#</t>
  </si>
  <si>
    <t>863#</t>
  </si>
  <si>
    <t>818#</t>
  </si>
  <si>
    <t>817#</t>
  </si>
  <si>
    <t>853#</t>
  </si>
  <si>
    <t>810#</t>
  </si>
  <si>
    <t>820#</t>
  </si>
  <si>
    <t>875#</t>
  </si>
  <si>
    <t>807#</t>
  </si>
  <si>
    <t>856#</t>
  </si>
  <si>
    <t>609#</t>
  </si>
  <si>
    <t>850#</t>
  </si>
  <si>
    <t>858#</t>
  </si>
  <si>
    <t>613#</t>
  </si>
  <si>
    <t>885#</t>
  </si>
  <si>
    <t>857#</t>
  </si>
  <si>
    <t>6257布</t>
  </si>
  <si>
    <t>9875#</t>
  </si>
  <si>
    <t>838#</t>
  </si>
  <si>
    <t>871#</t>
  </si>
  <si>
    <t>867#</t>
  </si>
  <si>
    <t>827#</t>
  </si>
  <si>
    <t>855#</t>
  </si>
  <si>
    <t>9810#</t>
  </si>
  <si>
    <t>羊绒布</t>
  </si>
  <si>
    <t>羊绒背心</t>
  </si>
  <si>
    <t>9635#</t>
  </si>
  <si>
    <t>837#</t>
  </si>
  <si>
    <t>厂贴纸</t>
  </si>
  <si>
    <t>客户订单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</si>
</sst>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m&quot;月&quot;d&quot;日&quot;;@"/>
  </numFmts>
  <fonts count="25">
    <font>
      <sz val="11"/>
      <name val="宋体"/>
      <charset val="134"/>
    </font>
    <font>
      <b/>
      <sz val="11"/>
      <name val="宋体"/>
      <charset val="134"/>
    </font>
    <font>
      <b/>
      <sz val="11"/>
      <color rgb="FF08090C"/>
      <name val="宋体"/>
      <charset val="134"/>
    </font>
    <font>
      <b/>
      <sz val="10"/>
      <color rgb="FF000000"/>
      <name val="宋体"/>
      <charset val="134"/>
    </font>
    <font>
      <sz val="10"/>
      <color rgb="FF0000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D3F4F1"/>
        <bgColor rgb="FFD3F4F1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rgb="FF30C0B4"/>
      </left>
      <right style="thin">
        <color rgb="FFFFFFFF"/>
      </right>
      <top style="thin">
        <color rgb="FF30C0B4"/>
      </top>
      <bottom style="thin">
        <color rgb="FFB5ECE8"/>
      </bottom>
      <diagonal/>
    </border>
    <border>
      <left style="thin">
        <color rgb="FFFFFFFF"/>
      </left>
      <right style="thin">
        <color rgb="FFFFFFFF"/>
      </right>
      <top style="thin">
        <color rgb="FF30C0B4"/>
      </top>
      <bottom style="thin">
        <color rgb="FFB5ECE8"/>
      </bottom>
      <diagonal/>
    </border>
    <border>
      <left style="thin">
        <color rgb="FFFFFFFF"/>
      </left>
      <right style="thin">
        <color rgb="FF30C0B4"/>
      </right>
      <top style="thin">
        <color rgb="FF30C0B4"/>
      </top>
      <bottom style="thin">
        <color rgb="FFB5ECE8"/>
      </bottom>
      <diagonal/>
    </border>
    <border>
      <left style="thin">
        <color rgb="FF30C0B4"/>
      </left>
      <right style="thin">
        <color rgb="FFB5ECE8"/>
      </right>
      <top/>
      <bottom style="thin">
        <color rgb="FFB5ECE8"/>
      </bottom>
      <diagonal/>
    </border>
    <border>
      <left style="thin">
        <color rgb="FFB5ECE8"/>
      </left>
      <right style="thin">
        <color rgb="FFB5ECE8"/>
      </right>
      <top/>
      <bottom style="thin">
        <color rgb="FFB5ECE8"/>
      </bottom>
      <diagonal/>
    </border>
    <border>
      <left style="thin">
        <color rgb="FFB5ECE8"/>
      </left>
      <right style="thin">
        <color rgb="FF30C0B4"/>
      </right>
      <top/>
      <bottom style="thin">
        <color rgb="FFB5ECE8"/>
      </bottom>
      <diagonal/>
    </border>
    <border>
      <left style="thin">
        <color rgb="FFB5ECE8"/>
      </left>
      <right style="thin">
        <color rgb="FFB5ECE8"/>
      </right>
      <top style="thin">
        <color rgb="FFB5ECE8"/>
      </top>
      <bottom style="thin">
        <color rgb="FFB5ECE8"/>
      </bottom>
      <diagonal/>
    </border>
    <border>
      <left style="thin">
        <color rgb="FFB5ECE8"/>
      </left>
      <right style="thin">
        <color rgb="FF30C0B4"/>
      </right>
      <top style="thin">
        <color rgb="FFB5ECE8"/>
      </top>
      <bottom style="thin">
        <color rgb="FFB5ECE8"/>
      </bottom>
      <diagonal/>
    </border>
    <border>
      <left style="thin">
        <color rgb="FFB5ECE8"/>
      </left>
      <right style="thin">
        <color rgb="FFB5ECE8"/>
      </right>
      <top style="thin">
        <color rgb="FFB5ECE8"/>
      </top>
      <bottom style="thin">
        <color rgb="FF30C0B4"/>
      </bottom>
      <diagonal/>
    </border>
    <border>
      <left style="thin">
        <color rgb="FFB5ECE8"/>
      </left>
      <right style="thin">
        <color rgb="FF30C0B4"/>
      </right>
      <top style="thin">
        <color rgb="FFB5ECE8"/>
      </top>
      <bottom style="thin">
        <color rgb="FF30C0B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4" borderId="1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2" applyNumberFormat="0" applyFill="0" applyAlignment="0" applyProtection="0">
      <alignment vertical="center"/>
    </xf>
    <xf numFmtId="0" fontId="12" fillId="0" borderId="12" applyNumberFormat="0" applyFill="0" applyAlignment="0" applyProtection="0">
      <alignment vertical="center"/>
    </xf>
    <xf numFmtId="0" fontId="13" fillId="0" borderId="1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14" applyNumberFormat="0" applyAlignment="0" applyProtection="0">
      <alignment vertical="center"/>
    </xf>
    <xf numFmtId="0" fontId="15" fillId="6" borderId="15" applyNumberFormat="0" applyAlignment="0" applyProtection="0">
      <alignment vertical="center"/>
    </xf>
    <xf numFmtId="0" fontId="16" fillId="6" borderId="14" applyNumberFormat="0" applyAlignment="0" applyProtection="0">
      <alignment vertical="center"/>
    </xf>
    <xf numFmtId="0" fontId="17" fillId="7" borderId="16" applyNumberFormat="0" applyAlignment="0" applyProtection="0">
      <alignment vertical="center"/>
    </xf>
    <xf numFmtId="0" fontId="18" fillId="0" borderId="17" applyNumberFormat="0" applyFill="0" applyAlignment="0" applyProtection="0">
      <alignment vertical="center"/>
    </xf>
    <xf numFmtId="0" fontId="19" fillId="0" borderId="1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 wrapText="1"/>
    </xf>
    <xf numFmtId="0" fontId="2" fillId="2" borderId="2" xfId="0" applyNumberFormat="1" applyFont="1" applyFill="1" applyBorder="1" applyAlignment="1">
      <alignment horizontal="center" vertical="center" wrapText="1"/>
    </xf>
    <xf numFmtId="0" fontId="1" fillId="2" borderId="2" xfId="0" applyNumberFormat="1" applyFont="1" applyFill="1" applyBorder="1" applyAlignment="1">
      <alignment horizontal="center" vertical="center"/>
    </xf>
    <xf numFmtId="0" fontId="2" fillId="2" borderId="3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>
      <alignment vertical="center"/>
    </xf>
    <xf numFmtId="176" fontId="0" fillId="0" borderId="0" xfId="0" applyNumberFormat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3" fillId="2" borderId="2" xfId="0" applyNumberFormat="1" applyFont="1" applyFill="1" applyBorder="1" applyAlignment="1">
      <alignment horizontal="center" vertical="center" wrapText="1"/>
    </xf>
    <xf numFmtId="58" fontId="0" fillId="0" borderId="0" xfId="0" applyNumberFormat="1" applyAlignment="1">
      <alignment horizontal="center" vertical="center"/>
    </xf>
    <xf numFmtId="176" fontId="4" fillId="3" borderId="4" xfId="0" applyNumberFormat="1" applyFont="1" applyFill="1" applyBorder="1" applyAlignment="1">
      <alignment horizontal="center" vertical="center" wrapText="1"/>
    </xf>
    <xf numFmtId="58" fontId="4" fillId="3" borderId="5" xfId="0" applyNumberFormat="1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3" fillId="3" borderId="5" xfId="0" applyNumberFormat="1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58" fontId="4" fillId="3" borderId="7" xfId="0" applyNumberFormat="1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 wrapText="1"/>
    </xf>
    <xf numFmtId="0" fontId="3" fillId="3" borderId="7" xfId="0" applyNumberFormat="1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 vertical="center" wrapText="1"/>
    </xf>
    <xf numFmtId="58" fontId="4" fillId="3" borderId="9" xfId="0" applyNumberFormat="1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3" fillId="3" borderId="9" xfId="0" applyNumberFormat="1" applyFont="1" applyFill="1" applyBorder="1" applyAlignment="1">
      <alignment horizontal="center" vertical="center" wrapText="1"/>
    </xf>
    <xf numFmtId="0" fontId="4" fillId="3" borderId="10" xfId="0" applyFont="1" applyFill="1" applyBorder="1" applyAlignment="1">
      <alignment horizontal="center" vertical="center" wrapText="1"/>
    </xf>
    <xf numFmtId="0" fontId="3" fillId="0" borderId="0" xfId="0" applyNumberFormat="1" applyFont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Y81"/>
  <sheetViews>
    <sheetView workbookViewId="0">
      <pane ySplit="1" topLeftCell="A3" activePane="bottomLeft" state="frozen"/>
      <selection/>
      <selection pane="bottomLeft" activeCell="L17" sqref="L17"/>
    </sheetView>
  </sheetViews>
  <sheetFormatPr defaultColWidth="10" defaultRowHeight="13.5"/>
  <cols>
    <col min="1" max="1" width="7.275" style="1" customWidth="1"/>
    <col min="2" max="2" width="5.10833333333333" style="1" customWidth="1"/>
    <col min="3" max="3" width="5.21666666666667" style="1" customWidth="1"/>
    <col min="4" max="4" width="6.10833333333333" style="2" customWidth="1"/>
    <col min="5" max="7" width="9.21666666666667" style="1" customWidth="1"/>
    <col min="8" max="8" width="10.9416666666667" style="1" customWidth="1"/>
    <col min="9" max="9" width="5.10833333333333" style="1" customWidth="1"/>
    <col min="10" max="10" width="5.21666666666667" style="1" customWidth="1"/>
  </cols>
  <sheetData>
    <row r="1" spans="1:51">
      <c r="A1" s="3" t="s">
        <v>0</v>
      </c>
      <c r="B1" s="4" t="s">
        <v>1</v>
      </c>
      <c r="C1" s="4" t="s">
        <v>2</v>
      </c>
      <c r="D1" s="1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6" t="s">
        <v>9</v>
      </c>
      <c r="K1" s="7"/>
      <c r="L1" s="7"/>
      <c r="M1" s="7"/>
      <c r="N1" s="7"/>
      <c r="O1" s="7"/>
      <c r="P1" s="7"/>
      <c r="Q1" s="7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</row>
    <row r="2" spans="1:51">
      <c r="A2" s="14">
        <v>46024</v>
      </c>
      <c r="B2" s="15" t="s">
        <v>10</v>
      </c>
      <c r="C2" s="16">
        <v>987</v>
      </c>
      <c r="D2" s="17" t="s">
        <v>11</v>
      </c>
      <c r="E2" s="16">
        <v>96</v>
      </c>
      <c r="F2" s="16">
        <v>96</v>
      </c>
      <c r="G2" s="16"/>
      <c r="H2" s="16"/>
      <c r="I2" s="16" t="s">
        <v>12</v>
      </c>
      <c r="J2" s="18">
        <f>SUM(F2:F12)</f>
        <v>2081</v>
      </c>
    </row>
    <row r="3" spans="1:51">
      <c r="A3" s="14">
        <v>46024</v>
      </c>
      <c r="B3" s="19" t="s">
        <v>10</v>
      </c>
      <c r="C3" s="20">
        <v>962</v>
      </c>
      <c r="D3" s="21" t="s">
        <v>13</v>
      </c>
      <c r="E3" s="20">
        <v>102</v>
      </c>
      <c r="F3" s="20">
        <v>102</v>
      </c>
      <c r="G3" s="20"/>
      <c r="H3" s="20"/>
      <c r="I3" s="20" t="s">
        <v>12</v>
      </c>
      <c r="J3" s="22"/>
    </row>
    <row r="4" spans="1:51">
      <c r="A4" s="14">
        <v>46024</v>
      </c>
      <c r="B4" s="19" t="s">
        <v>10</v>
      </c>
      <c r="C4" s="20">
        <v>988</v>
      </c>
      <c r="D4" s="21" t="s">
        <v>14</v>
      </c>
      <c r="E4" s="20">
        <v>50</v>
      </c>
      <c r="F4" s="20">
        <v>50</v>
      </c>
      <c r="G4" s="20"/>
      <c r="H4" s="20"/>
      <c r="I4" s="20" t="s">
        <v>12</v>
      </c>
      <c r="J4" s="22"/>
    </row>
    <row r="5" spans="1:51">
      <c r="A5" s="14">
        <v>46024</v>
      </c>
      <c r="B5" s="19" t="s">
        <v>10</v>
      </c>
      <c r="C5" s="20">
        <v>992</v>
      </c>
      <c r="D5" s="21" t="s">
        <v>15</v>
      </c>
      <c r="E5" s="20">
        <v>34</v>
      </c>
      <c r="F5" s="20">
        <v>34</v>
      </c>
      <c r="G5" s="20"/>
      <c r="H5" s="20"/>
      <c r="I5" s="20" t="s">
        <v>12</v>
      </c>
      <c r="J5" s="22"/>
    </row>
    <row r="6" spans="1:51">
      <c r="A6" s="14">
        <v>46024</v>
      </c>
      <c r="B6" s="19" t="s">
        <v>10</v>
      </c>
      <c r="C6" s="20">
        <v>625</v>
      </c>
      <c r="D6" s="21" t="s">
        <v>16</v>
      </c>
      <c r="E6" s="20">
        <v>116</v>
      </c>
      <c r="F6" s="20">
        <v>116</v>
      </c>
      <c r="G6" s="20"/>
      <c r="H6" s="20"/>
      <c r="I6" s="20" t="s">
        <v>12</v>
      </c>
      <c r="J6" s="22"/>
    </row>
    <row r="7" spans="1:51">
      <c r="A7" s="14">
        <v>46024</v>
      </c>
      <c r="B7" s="19" t="s">
        <v>10</v>
      </c>
      <c r="C7" s="20">
        <v>632</v>
      </c>
      <c r="D7" s="21" t="s">
        <v>17</v>
      </c>
      <c r="E7" s="20">
        <v>30</v>
      </c>
      <c r="F7" s="20">
        <v>30</v>
      </c>
      <c r="G7" s="20"/>
      <c r="H7" s="20"/>
      <c r="I7" s="20" t="s">
        <v>12</v>
      </c>
      <c r="J7" s="22"/>
    </row>
    <row r="8" spans="1:51">
      <c r="A8" s="14">
        <v>46024</v>
      </c>
      <c r="B8" s="19" t="s">
        <v>10</v>
      </c>
      <c r="C8" s="20">
        <v>1861</v>
      </c>
      <c r="D8" s="21" t="s">
        <v>18</v>
      </c>
      <c r="E8" s="20">
        <v>108</v>
      </c>
      <c r="F8" s="20">
        <v>108</v>
      </c>
      <c r="G8" s="20"/>
      <c r="H8" s="20"/>
      <c r="I8" s="20" t="s">
        <v>12</v>
      </c>
      <c r="J8" s="22"/>
    </row>
    <row r="9" spans="1:51">
      <c r="A9" s="14">
        <v>46024</v>
      </c>
      <c r="B9" s="19" t="s">
        <v>19</v>
      </c>
      <c r="C9" s="20">
        <v>859</v>
      </c>
      <c r="D9" s="21" t="s">
        <v>20</v>
      </c>
      <c r="E9" s="20">
        <v>462</v>
      </c>
      <c r="F9" s="20">
        <v>462</v>
      </c>
      <c r="G9" s="20"/>
      <c r="H9" s="20"/>
      <c r="I9" s="20" t="s">
        <v>12</v>
      </c>
      <c r="J9" s="22"/>
    </row>
    <row r="10" spans="1:51">
      <c r="A10" s="14">
        <v>46024</v>
      </c>
      <c r="B10" s="19" t="s">
        <v>19</v>
      </c>
      <c r="C10" s="20">
        <v>851</v>
      </c>
      <c r="D10" s="21" t="s">
        <v>21</v>
      </c>
      <c r="E10" s="20">
        <v>231</v>
      </c>
      <c r="F10" s="20">
        <v>231</v>
      </c>
      <c r="G10" s="20"/>
      <c r="H10" s="20"/>
      <c r="I10" s="20" t="s">
        <v>12</v>
      </c>
      <c r="J10" s="22"/>
    </row>
    <row r="11" spans="1:51">
      <c r="A11" s="14">
        <v>46024</v>
      </c>
      <c r="B11" s="19" t="s">
        <v>19</v>
      </c>
      <c r="C11" s="20">
        <v>865</v>
      </c>
      <c r="D11" s="21" t="s">
        <v>22</v>
      </c>
      <c r="E11" s="20">
        <v>426</v>
      </c>
      <c r="F11" s="20">
        <v>426</v>
      </c>
      <c r="G11" s="20"/>
      <c r="H11" s="20"/>
      <c r="I11" s="20" t="s">
        <v>12</v>
      </c>
      <c r="J11" s="22"/>
    </row>
    <row r="12" spans="1:51">
      <c r="A12" s="14">
        <v>46024</v>
      </c>
      <c r="B12" s="19" t="s">
        <v>19</v>
      </c>
      <c r="C12" s="20">
        <v>866</v>
      </c>
      <c r="D12" s="21" t="s">
        <v>23</v>
      </c>
      <c r="E12" s="20">
        <v>426</v>
      </c>
      <c r="F12" s="20">
        <v>426</v>
      </c>
      <c r="G12" s="20"/>
      <c r="H12" s="20"/>
      <c r="I12" s="20" t="s">
        <v>12</v>
      </c>
      <c r="J12" s="22"/>
    </row>
    <row r="13" spans="1:51">
      <c r="A13" s="14">
        <v>46026</v>
      </c>
      <c r="B13" s="19" t="s">
        <v>19</v>
      </c>
      <c r="C13" s="20">
        <v>880</v>
      </c>
      <c r="D13" s="21" t="s">
        <v>24</v>
      </c>
      <c r="E13" s="20">
        <v>264</v>
      </c>
      <c r="F13" s="20">
        <v>264</v>
      </c>
      <c r="G13" s="20"/>
      <c r="H13" s="20"/>
      <c r="I13" s="20" t="s">
        <v>12</v>
      </c>
      <c r="J13" s="22">
        <f>SUM(F13:F20)</f>
        <v>1355</v>
      </c>
    </row>
    <row r="14" spans="1:51">
      <c r="A14" s="14">
        <v>46026</v>
      </c>
      <c r="B14" s="19" t="s">
        <v>19</v>
      </c>
      <c r="C14" s="20">
        <v>896</v>
      </c>
      <c r="D14" s="21" t="s">
        <v>25</v>
      </c>
      <c r="E14" s="20">
        <v>264</v>
      </c>
      <c r="F14" s="20">
        <v>264</v>
      </c>
      <c r="G14" s="20"/>
      <c r="H14" s="20"/>
      <c r="I14" s="20" t="s">
        <v>12</v>
      </c>
      <c r="J14" s="22"/>
    </row>
    <row r="15" spans="1:51">
      <c r="A15" s="14">
        <v>46026</v>
      </c>
      <c r="B15" s="19" t="s">
        <v>19</v>
      </c>
      <c r="C15" s="20">
        <v>865</v>
      </c>
      <c r="D15" s="21" t="s">
        <v>22</v>
      </c>
      <c r="E15" s="20">
        <v>264</v>
      </c>
      <c r="F15" s="20">
        <v>264</v>
      </c>
      <c r="G15" s="20"/>
      <c r="H15" s="20"/>
      <c r="I15" s="20" t="s">
        <v>12</v>
      </c>
      <c r="J15" s="22"/>
    </row>
    <row r="16" spans="1:51">
      <c r="A16" s="14">
        <v>46026</v>
      </c>
      <c r="B16" s="19" t="s">
        <v>19</v>
      </c>
      <c r="C16" s="20">
        <v>866</v>
      </c>
      <c r="D16" s="21" t="s">
        <v>23</v>
      </c>
      <c r="E16" s="20">
        <v>264</v>
      </c>
      <c r="F16" s="20">
        <v>264</v>
      </c>
      <c r="G16" s="20"/>
      <c r="H16" s="20"/>
      <c r="I16" s="20" t="s">
        <v>12</v>
      </c>
      <c r="J16" s="22"/>
    </row>
    <row r="17" spans="1:10">
      <c r="A17" s="14">
        <v>46026</v>
      </c>
      <c r="B17" s="19" t="s">
        <v>10</v>
      </c>
      <c r="C17" s="20">
        <v>1861</v>
      </c>
      <c r="D17" s="21" t="s">
        <v>18</v>
      </c>
      <c r="E17" s="20">
        <v>117</v>
      </c>
      <c r="F17" s="20">
        <v>117</v>
      </c>
      <c r="G17" s="20"/>
      <c r="H17" s="20"/>
      <c r="I17" s="20" t="s">
        <v>12</v>
      </c>
      <c r="J17" s="22"/>
    </row>
    <row r="18" spans="1:10">
      <c r="A18" s="14">
        <v>46026</v>
      </c>
      <c r="B18" s="19" t="s">
        <v>10</v>
      </c>
      <c r="C18" s="20">
        <v>978</v>
      </c>
      <c r="D18" s="21" t="s">
        <v>26</v>
      </c>
      <c r="E18" s="20">
        <v>28</v>
      </c>
      <c r="F18" s="20">
        <v>28</v>
      </c>
      <c r="G18" s="20"/>
      <c r="H18" s="20"/>
      <c r="I18" s="20" t="s">
        <v>12</v>
      </c>
      <c r="J18" s="22"/>
    </row>
    <row r="19" spans="1:10">
      <c r="A19" s="14">
        <v>46026</v>
      </c>
      <c r="B19" s="19" t="s">
        <v>10</v>
      </c>
      <c r="C19" s="20">
        <v>965</v>
      </c>
      <c r="D19" s="21" t="s">
        <v>27</v>
      </c>
      <c r="E19" s="20">
        <v>126</v>
      </c>
      <c r="F19" s="20">
        <v>126</v>
      </c>
      <c r="G19" s="20"/>
      <c r="H19" s="20"/>
      <c r="I19" s="20" t="s">
        <v>12</v>
      </c>
      <c r="J19" s="22"/>
    </row>
    <row r="20" spans="1:10">
      <c r="A20" s="14">
        <v>46026</v>
      </c>
      <c r="B20" s="23" t="s">
        <v>10</v>
      </c>
      <c r="C20" s="24">
        <v>985</v>
      </c>
      <c r="D20" s="25" t="s">
        <v>28</v>
      </c>
      <c r="E20" s="24">
        <v>28</v>
      </c>
      <c r="F20" s="24">
        <v>28</v>
      </c>
      <c r="G20" s="24"/>
      <c r="H20" s="24"/>
      <c r="I20" s="24" t="s">
        <v>12</v>
      </c>
      <c r="J20" s="26"/>
    </row>
    <row r="21" spans="1:10">
      <c r="A21" s="14">
        <v>46027</v>
      </c>
      <c r="B21" s="1" t="s">
        <v>10</v>
      </c>
      <c r="C21" s="1">
        <v>625</v>
      </c>
      <c r="D21" s="27" t="s">
        <v>16</v>
      </c>
      <c r="E21" s="1">
        <v>220</v>
      </c>
      <c r="F21" s="1">
        <v>220</v>
      </c>
      <c r="I21" s="24" t="s">
        <v>12</v>
      </c>
      <c r="J21" s="10">
        <f>SUM(F21:F35)</f>
        <v>2416</v>
      </c>
    </row>
    <row r="22" spans="1:10">
      <c r="A22" s="14">
        <v>46027</v>
      </c>
      <c r="B22" s="1" t="s">
        <v>10</v>
      </c>
      <c r="C22" s="1">
        <v>632</v>
      </c>
      <c r="D22" s="27" t="s">
        <v>17</v>
      </c>
      <c r="E22" s="1">
        <v>110</v>
      </c>
      <c r="F22" s="1">
        <v>110</v>
      </c>
      <c r="I22" s="24" t="s">
        <v>12</v>
      </c>
      <c r="J22" s="10"/>
    </row>
    <row r="23" spans="1:10">
      <c r="A23" s="14">
        <v>46027</v>
      </c>
      <c r="B23" s="1" t="s">
        <v>10</v>
      </c>
      <c r="C23" s="1">
        <v>6639</v>
      </c>
      <c r="D23" s="27" t="s">
        <v>29</v>
      </c>
      <c r="E23" s="1">
        <v>260</v>
      </c>
      <c r="F23" s="1">
        <v>260</v>
      </c>
      <c r="I23" s="24" t="s">
        <v>12</v>
      </c>
      <c r="J23" s="10"/>
    </row>
    <row r="24" spans="1:10">
      <c r="A24" s="14">
        <v>46027</v>
      </c>
      <c r="B24" s="1" t="s">
        <v>10</v>
      </c>
      <c r="C24" s="1">
        <v>909</v>
      </c>
      <c r="D24" s="27" t="s">
        <v>30</v>
      </c>
      <c r="E24" s="1">
        <v>296</v>
      </c>
      <c r="F24" s="1">
        <v>296</v>
      </c>
      <c r="I24" s="24" t="s">
        <v>12</v>
      </c>
      <c r="J24" s="10"/>
    </row>
    <row r="25" spans="1:10">
      <c r="A25" s="14">
        <v>46027</v>
      </c>
      <c r="B25" s="1" t="s">
        <v>10</v>
      </c>
      <c r="C25" s="1">
        <v>981</v>
      </c>
      <c r="D25" s="27" t="s">
        <v>31</v>
      </c>
      <c r="E25" s="1">
        <v>88</v>
      </c>
      <c r="F25" s="1">
        <v>88</v>
      </c>
      <c r="I25" s="24" t="s">
        <v>12</v>
      </c>
      <c r="J25" s="10"/>
    </row>
    <row r="26" spans="1:10">
      <c r="A26" s="14">
        <v>46027</v>
      </c>
      <c r="B26" s="1" t="s">
        <v>10</v>
      </c>
      <c r="C26" s="1">
        <v>1861</v>
      </c>
      <c r="D26" s="27" t="s">
        <v>18</v>
      </c>
      <c r="E26" s="1">
        <v>171</v>
      </c>
      <c r="F26" s="1">
        <v>171</v>
      </c>
      <c r="I26" s="24" t="s">
        <v>12</v>
      </c>
      <c r="J26" s="10"/>
    </row>
    <row r="27" spans="1:10">
      <c r="A27" s="14">
        <v>46027</v>
      </c>
      <c r="B27" s="1" t="s">
        <v>10</v>
      </c>
      <c r="C27" s="1">
        <v>8839</v>
      </c>
      <c r="D27" s="27" t="s">
        <v>32</v>
      </c>
      <c r="E27" s="1">
        <v>68</v>
      </c>
      <c r="F27" s="1">
        <v>68</v>
      </c>
      <c r="I27" s="24" t="s">
        <v>12</v>
      </c>
      <c r="J27" s="10"/>
    </row>
    <row r="28" spans="1:10">
      <c r="A28" s="14">
        <v>46027</v>
      </c>
      <c r="B28" s="1" t="s">
        <v>10</v>
      </c>
      <c r="C28" s="1">
        <v>987</v>
      </c>
      <c r="D28" s="27" t="s">
        <v>11</v>
      </c>
      <c r="E28" s="1">
        <v>141</v>
      </c>
      <c r="F28" s="1">
        <v>141</v>
      </c>
      <c r="I28" s="24" t="s">
        <v>12</v>
      </c>
      <c r="J28" s="10"/>
    </row>
    <row r="29" spans="1:10">
      <c r="A29" s="14">
        <v>46027</v>
      </c>
      <c r="B29" s="1" t="s">
        <v>10</v>
      </c>
      <c r="C29" s="1">
        <v>992</v>
      </c>
      <c r="D29" s="27" t="s">
        <v>15</v>
      </c>
      <c r="E29" s="1">
        <v>41</v>
      </c>
      <c r="F29" s="1">
        <v>41</v>
      </c>
      <c r="I29" s="24" t="s">
        <v>12</v>
      </c>
      <c r="J29" s="10"/>
    </row>
    <row r="30" spans="1:10">
      <c r="A30" s="14">
        <v>46027</v>
      </c>
      <c r="B30" s="1" t="s">
        <v>10</v>
      </c>
      <c r="C30" s="1">
        <v>991</v>
      </c>
      <c r="D30" s="27" t="s">
        <v>33</v>
      </c>
      <c r="E30" s="1">
        <v>43</v>
      </c>
      <c r="F30" s="1">
        <v>43</v>
      </c>
      <c r="I30" s="24" t="s">
        <v>12</v>
      </c>
      <c r="J30" s="10"/>
    </row>
    <row r="31" spans="1:10">
      <c r="A31" s="14">
        <v>46027</v>
      </c>
      <c r="B31" s="1" t="s">
        <v>10</v>
      </c>
      <c r="C31" s="1">
        <v>963</v>
      </c>
      <c r="D31" s="27" t="s">
        <v>34</v>
      </c>
      <c r="E31" s="1">
        <v>54</v>
      </c>
      <c r="F31" s="1">
        <v>54</v>
      </c>
      <c r="I31" s="24" t="s">
        <v>12</v>
      </c>
      <c r="J31" s="10"/>
    </row>
    <row r="32" spans="1:10">
      <c r="A32" s="14">
        <v>46027</v>
      </c>
      <c r="B32" s="1" t="s">
        <v>19</v>
      </c>
      <c r="C32" s="1">
        <v>865</v>
      </c>
      <c r="D32" s="27" t="s">
        <v>22</v>
      </c>
      <c r="E32" s="1">
        <v>231</v>
      </c>
      <c r="F32" s="1">
        <v>231</v>
      </c>
      <c r="I32" s="24" t="s">
        <v>12</v>
      </c>
      <c r="J32" s="10"/>
    </row>
    <row r="33" spans="1:10">
      <c r="A33" s="14">
        <v>46027</v>
      </c>
      <c r="B33" s="1" t="s">
        <v>19</v>
      </c>
      <c r="C33" s="1">
        <v>866</v>
      </c>
      <c r="D33" s="27" t="s">
        <v>23</v>
      </c>
      <c r="E33" s="1">
        <v>231</v>
      </c>
      <c r="F33" s="1">
        <v>231</v>
      </c>
      <c r="I33" s="24" t="s">
        <v>12</v>
      </c>
      <c r="J33" s="10"/>
    </row>
    <row r="34" spans="1:10">
      <c r="A34" s="14">
        <v>46027</v>
      </c>
      <c r="B34" s="1" t="s">
        <v>19</v>
      </c>
      <c r="C34" s="1">
        <v>859</v>
      </c>
      <c r="D34" s="27" t="s">
        <v>20</v>
      </c>
      <c r="E34" s="1">
        <v>308</v>
      </c>
      <c r="F34" s="1">
        <v>308</v>
      </c>
      <c r="I34" s="24" t="s">
        <v>12</v>
      </c>
      <c r="J34" s="10"/>
    </row>
    <row r="35" spans="1:10">
      <c r="A35" s="14">
        <v>46027</v>
      </c>
      <c r="B35" s="1" t="s">
        <v>19</v>
      </c>
      <c r="C35" s="1">
        <v>851</v>
      </c>
      <c r="D35" s="27" t="s">
        <v>21</v>
      </c>
      <c r="E35" s="1">
        <v>154</v>
      </c>
      <c r="F35" s="1">
        <v>154</v>
      </c>
      <c r="I35" s="24" t="s">
        <v>12</v>
      </c>
      <c r="J35" s="10"/>
    </row>
    <row r="36" spans="1:10">
      <c r="A36" s="14">
        <v>46028</v>
      </c>
      <c r="B36" s="1" t="s">
        <v>10</v>
      </c>
      <c r="C36" s="1">
        <v>1861</v>
      </c>
      <c r="D36" s="27" t="s">
        <v>18</v>
      </c>
      <c r="E36" s="1">
        <v>54</v>
      </c>
      <c r="F36" s="1">
        <v>54</v>
      </c>
      <c r="I36" s="24" t="s">
        <v>12</v>
      </c>
      <c r="J36" s="10">
        <f>SUM(F36:F39)</f>
        <v>234</v>
      </c>
    </row>
    <row r="37" spans="1:10">
      <c r="A37" s="14">
        <v>46028</v>
      </c>
      <c r="B37" s="1" t="s">
        <v>10</v>
      </c>
      <c r="C37" s="1">
        <v>625</v>
      </c>
      <c r="D37" s="27" t="s">
        <v>16</v>
      </c>
      <c r="E37" s="1">
        <v>120</v>
      </c>
      <c r="F37" s="1">
        <v>120</v>
      </c>
      <c r="I37" s="24" t="s">
        <v>12</v>
      </c>
      <c r="J37" s="10"/>
    </row>
    <row r="38" spans="1:10">
      <c r="A38" s="14">
        <v>46028</v>
      </c>
      <c r="B38" s="1" t="s">
        <v>10</v>
      </c>
      <c r="C38" s="1">
        <v>6639</v>
      </c>
      <c r="D38" s="27" t="s">
        <v>29</v>
      </c>
      <c r="E38" s="1">
        <v>40</v>
      </c>
      <c r="F38" s="1">
        <v>40</v>
      </c>
      <c r="I38" s="24" t="s">
        <v>12</v>
      </c>
      <c r="J38" s="10"/>
    </row>
    <row r="39" spans="1:10">
      <c r="A39" s="14">
        <v>46028</v>
      </c>
      <c r="B39" s="1" t="s">
        <v>10</v>
      </c>
      <c r="C39" s="1">
        <v>909</v>
      </c>
      <c r="D39" s="27" t="s">
        <v>30</v>
      </c>
      <c r="E39" s="1">
        <v>20</v>
      </c>
      <c r="F39" s="1">
        <v>20</v>
      </c>
      <c r="I39" s="24" t="s">
        <v>12</v>
      </c>
      <c r="J39" s="10"/>
    </row>
    <row r="40" spans="1:10">
      <c r="A40" s="14">
        <v>46029</v>
      </c>
      <c r="B40" s="1" t="s">
        <v>19</v>
      </c>
      <c r="C40" s="1">
        <v>840</v>
      </c>
      <c r="D40" s="27" t="s">
        <v>35</v>
      </c>
      <c r="E40" s="1">
        <v>351</v>
      </c>
      <c r="F40" s="1">
        <v>351</v>
      </c>
      <c r="I40" s="24" t="s">
        <v>12</v>
      </c>
      <c r="J40" s="10">
        <f>SUM(F40:F51)</f>
        <v>2027</v>
      </c>
    </row>
    <row r="41" spans="1:10">
      <c r="A41" s="14">
        <v>46029</v>
      </c>
      <c r="B41" s="1" t="s">
        <v>19</v>
      </c>
      <c r="C41" s="1">
        <v>880</v>
      </c>
      <c r="D41" s="27" t="s">
        <v>24</v>
      </c>
      <c r="E41" s="1">
        <v>351</v>
      </c>
      <c r="F41" s="1">
        <v>351</v>
      </c>
      <c r="I41" s="24" t="s">
        <v>12</v>
      </c>
      <c r="J41" s="10"/>
    </row>
    <row r="42" spans="1:10">
      <c r="A42" s="14">
        <v>46029</v>
      </c>
      <c r="B42" s="1" t="s">
        <v>19</v>
      </c>
      <c r="C42" s="1">
        <v>896</v>
      </c>
      <c r="D42" s="27" t="s">
        <v>25</v>
      </c>
      <c r="E42" s="1">
        <v>351</v>
      </c>
      <c r="F42" s="1">
        <v>351</v>
      </c>
      <c r="I42" s="24" t="s">
        <v>12</v>
      </c>
      <c r="J42" s="10"/>
    </row>
    <row r="43" spans="1:10">
      <c r="A43" s="14">
        <v>46029</v>
      </c>
      <c r="B43" s="1" t="s">
        <v>10</v>
      </c>
      <c r="C43" s="1">
        <v>6639</v>
      </c>
      <c r="D43" s="27" t="s">
        <v>29</v>
      </c>
      <c r="E43" s="1">
        <v>84</v>
      </c>
      <c r="F43" s="1">
        <v>84</v>
      </c>
      <c r="I43" s="24" t="s">
        <v>12</v>
      </c>
      <c r="J43" s="10"/>
    </row>
    <row r="44" spans="1:10">
      <c r="A44" s="14">
        <v>46029</v>
      </c>
      <c r="B44" s="1" t="s">
        <v>10</v>
      </c>
      <c r="C44" s="1">
        <v>909</v>
      </c>
      <c r="D44" s="27" t="s">
        <v>30</v>
      </c>
      <c r="E44" s="1">
        <v>100</v>
      </c>
      <c r="F44" s="1">
        <v>100</v>
      </c>
      <c r="I44" s="24" t="s">
        <v>12</v>
      </c>
      <c r="J44" s="10"/>
    </row>
    <row r="45" spans="1:10">
      <c r="A45" s="14">
        <v>46029</v>
      </c>
      <c r="B45" s="1" t="s">
        <v>10</v>
      </c>
      <c r="C45" s="1">
        <v>625</v>
      </c>
      <c r="D45" s="27" t="s">
        <v>16</v>
      </c>
      <c r="E45" s="1">
        <v>308</v>
      </c>
      <c r="F45" s="1">
        <v>308</v>
      </c>
      <c r="I45" s="24" t="s">
        <v>12</v>
      </c>
      <c r="J45" s="10"/>
    </row>
    <row r="46" spans="1:10">
      <c r="A46" s="14">
        <v>46029</v>
      </c>
      <c r="B46" s="1" t="s">
        <v>10</v>
      </c>
      <c r="C46" s="1">
        <v>1861</v>
      </c>
      <c r="D46" s="27" t="s">
        <v>18</v>
      </c>
      <c r="E46" s="1">
        <v>126</v>
      </c>
      <c r="F46" s="1">
        <v>126</v>
      </c>
      <c r="I46" s="24" t="s">
        <v>12</v>
      </c>
      <c r="J46" s="10"/>
    </row>
    <row r="47" spans="1:10">
      <c r="A47" s="14">
        <v>46029</v>
      </c>
      <c r="B47" s="1" t="s">
        <v>10</v>
      </c>
      <c r="C47" s="1">
        <v>987</v>
      </c>
      <c r="D47" s="27" t="s">
        <v>11</v>
      </c>
      <c r="E47" s="1">
        <v>176</v>
      </c>
      <c r="F47" s="1">
        <v>176</v>
      </c>
      <c r="I47" s="24" t="s">
        <v>12</v>
      </c>
      <c r="J47" s="10"/>
    </row>
    <row r="48" spans="1:10">
      <c r="A48" s="14">
        <v>46029</v>
      </c>
      <c r="B48" s="1" t="s">
        <v>10</v>
      </c>
      <c r="C48" s="1">
        <v>965</v>
      </c>
      <c r="D48" s="27" t="s">
        <v>27</v>
      </c>
      <c r="E48" s="1">
        <v>46</v>
      </c>
      <c r="F48" s="1">
        <v>46</v>
      </c>
      <c r="I48" s="24" t="s">
        <v>12</v>
      </c>
      <c r="J48" s="10"/>
    </row>
    <row r="49" spans="1:10">
      <c r="A49" s="14">
        <v>46029</v>
      </c>
      <c r="B49" s="1" t="s">
        <v>10</v>
      </c>
      <c r="C49" s="1">
        <v>962</v>
      </c>
      <c r="D49" s="27" t="s">
        <v>13</v>
      </c>
      <c r="E49" s="1">
        <v>50</v>
      </c>
      <c r="F49" s="1">
        <v>50</v>
      </c>
      <c r="I49" s="24" t="s">
        <v>12</v>
      </c>
      <c r="J49" s="10"/>
    </row>
    <row r="50" spans="1:10">
      <c r="A50" s="14">
        <v>46029</v>
      </c>
      <c r="B50" s="1" t="s">
        <v>10</v>
      </c>
      <c r="C50" s="1">
        <v>991</v>
      </c>
      <c r="D50" s="27" t="s">
        <v>33</v>
      </c>
      <c r="E50" s="1">
        <v>38</v>
      </c>
      <c r="F50" s="1">
        <v>38</v>
      </c>
      <c r="I50" s="24" t="s">
        <v>12</v>
      </c>
      <c r="J50" s="10"/>
    </row>
    <row r="51" spans="1:10">
      <c r="A51" s="14">
        <v>46029</v>
      </c>
      <c r="B51" s="1" t="s">
        <v>10</v>
      </c>
      <c r="C51" s="1">
        <v>988</v>
      </c>
      <c r="D51" s="27" t="s">
        <v>14</v>
      </c>
      <c r="E51" s="1">
        <v>46</v>
      </c>
      <c r="F51" s="1">
        <v>46</v>
      </c>
      <c r="I51" s="24" t="s">
        <v>12</v>
      </c>
      <c r="J51" s="10"/>
    </row>
    <row r="52" spans="1:10">
      <c r="A52" s="14">
        <v>46030</v>
      </c>
      <c r="B52" s="1" t="s">
        <v>19</v>
      </c>
      <c r="C52" s="1">
        <v>809</v>
      </c>
      <c r="D52" s="27" t="s">
        <v>36</v>
      </c>
      <c r="E52" s="1">
        <v>327</v>
      </c>
      <c r="F52" s="1">
        <v>327</v>
      </c>
      <c r="I52" s="24" t="s">
        <v>12</v>
      </c>
      <c r="J52" s="10">
        <f>SUM(F52:F53)</f>
        <v>654</v>
      </c>
    </row>
    <row r="53" spans="1:10">
      <c r="A53" s="14">
        <v>46030</v>
      </c>
      <c r="B53" s="1" t="s">
        <v>19</v>
      </c>
      <c r="C53" s="1">
        <v>835</v>
      </c>
      <c r="D53" s="27" t="s">
        <v>37</v>
      </c>
      <c r="E53" s="1">
        <v>327</v>
      </c>
      <c r="F53" s="1">
        <v>327</v>
      </c>
      <c r="I53" s="24" t="s">
        <v>12</v>
      </c>
      <c r="J53" s="10"/>
    </row>
    <row r="54" spans="1:10">
      <c r="A54" s="14">
        <v>46031</v>
      </c>
      <c r="B54" s="1" t="s">
        <v>10</v>
      </c>
      <c r="C54" s="1">
        <v>1861</v>
      </c>
      <c r="D54" s="27" t="s">
        <v>18</v>
      </c>
      <c r="E54" s="1">
        <v>114</v>
      </c>
      <c r="F54" s="1">
        <v>114</v>
      </c>
      <c r="I54" s="24" t="s">
        <v>12</v>
      </c>
      <c r="J54" s="10">
        <f>SUM(F54:F57)</f>
        <v>270</v>
      </c>
    </row>
    <row r="55" spans="1:10">
      <c r="A55" s="14">
        <v>46031</v>
      </c>
      <c r="B55" s="1" t="s">
        <v>10</v>
      </c>
      <c r="C55" s="1">
        <v>8839</v>
      </c>
      <c r="D55" s="27" t="s">
        <v>32</v>
      </c>
      <c r="E55" s="1">
        <v>46</v>
      </c>
      <c r="F55" s="1">
        <v>46</v>
      </c>
      <c r="I55" s="24" t="s">
        <v>12</v>
      </c>
      <c r="J55" s="10"/>
    </row>
    <row r="56" spans="1:10">
      <c r="A56" s="14">
        <v>46031</v>
      </c>
      <c r="B56" s="1" t="s">
        <v>10</v>
      </c>
      <c r="C56" s="1">
        <v>987</v>
      </c>
      <c r="D56" s="27" t="s">
        <v>11</v>
      </c>
      <c r="E56" s="1">
        <v>72</v>
      </c>
      <c r="F56" s="1">
        <v>72</v>
      </c>
      <c r="I56" s="24" t="s">
        <v>12</v>
      </c>
      <c r="J56" s="10"/>
    </row>
    <row r="57" spans="1:10">
      <c r="A57" s="14">
        <v>46031</v>
      </c>
      <c r="B57" s="1" t="s">
        <v>10</v>
      </c>
      <c r="C57" s="1">
        <v>988</v>
      </c>
      <c r="D57" s="27" t="s">
        <v>14</v>
      </c>
      <c r="E57" s="1">
        <v>38</v>
      </c>
      <c r="F57" s="1">
        <v>38</v>
      </c>
      <c r="I57" s="24" t="s">
        <v>12</v>
      </c>
      <c r="J57" s="10"/>
    </row>
    <row r="58" spans="1:10">
      <c r="A58" s="14">
        <v>46032</v>
      </c>
      <c r="B58" s="1" t="s">
        <v>19</v>
      </c>
      <c r="C58" s="1">
        <v>865</v>
      </c>
      <c r="D58" s="27" t="s">
        <v>22</v>
      </c>
      <c r="E58" s="1">
        <v>396</v>
      </c>
      <c r="F58" s="1">
        <v>396</v>
      </c>
      <c r="I58" s="24" t="s">
        <v>12</v>
      </c>
      <c r="J58" s="10">
        <f>SUM(F58:F66)</f>
        <v>1545</v>
      </c>
    </row>
    <row r="59" spans="1:10">
      <c r="A59" s="14">
        <v>46032</v>
      </c>
      <c r="B59" s="1" t="s">
        <v>19</v>
      </c>
      <c r="C59" s="1">
        <v>866</v>
      </c>
      <c r="D59" s="27" t="s">
        <v>23</v>
      </c>
      <c r="E59" s="1">
        <v>396</v>
      </c>
      <c r="F59" s="1">
        <v>396</v>
      </c>
      <c r="I59" s="24" t="s">
        <v>12</v>
      </c>
      <c r="J59" s="10"/>
    </row>
    <row r="60" spans="1:10">
      <c r="A60" s="14">
        <v>46032</v>
      </c>
      <c r="B60" s="1" t="s">
        <v>19</v>
      </c>
      <c r="C60" s="1">
        <v>880</v>
      </c>
      <c r="D60" s="27" t="s">
        <v>24</v>
      </c>
      <c r="E60" s="1">
        <v>396</v>
      </c>
      <c r="F60" s="1">
        <v>396</v>
      </c>
      <c r="I60" s="24" t="s">
        <v>12</v>
      </c>
      <c r="J60" s="10"/>
    </row>
    <row r="61" spans="1:10">
      <c r="A61" s="14">
        <v>46032</v>
      </c>
      <c r="B61" s="1" t="s">
        <v>10</v>
      </c>
      <c r="C61" s="1">
        <v>8839</v>
      </c>
      <c r="D61" s="27" t="s">
        <v>32</v>
      </c>
      <c r="E61" s="1">
        <v>34</v>
      </c>
      <c r="F61" s="1">
        <v>34</v>
      </c>
      <c r="I61" s="24" t="s">
        <v>12</v>
      </c>
      <c r="J61" s="10"/>
    </row>
    <row r="62" spans="1:10">
      <c r="A62" s="14">
        <v>46032</v>
      </c>
      <c r="B62" s="1" t="s">
        <v>10</v>
      </c>
      <c r="C62" s="1">
        <v>1861</v>
      </c>
      <c r="D62" s="27" t="s">
        <v>18</v>
      </c>
      <c r="E62" s="1">
        <v>129</v>
      </c>
      <c r="F62" s="1">
        <v>129</v>
      </c>
      <c r="I62" s="24" t="s">
        <v>12</v>
      </c>
      <c r="J62" s="10"/>
    </row>
    <row r="63" spans="1:10">
      <c r="A63" s="14">
        <v>46032</v>
      </c>
      <c r="B63" s="1" t="s">
        <v>10</v>
      </c>
      <c r="C63" s="1">
        <v>6639</v>
      </c>
      <c r="D63" s="27" t="s">
        <v>29</v>
      </c>
      <c r="E63" s="1">
        <v>100</v>
      </c>
      <c r="F63" s="1">
        <v>100</v>
      </c>
      <c r="I63" s="24" t="s">
        <v>12</v>
      </c>
      <c r="J63" s="10"/>
    </row>
    <row r="64" spans="1:10">
      <c r="A64" s="14">
        <v>46032</v>
      </c>
      <c r="B64" s="1" t="s">
        <v>10</v>
      </c>
      <c r="C64" s="1">
        <v>909</v>
      </c>
      <c r="D64" s="27" t="s">
        <v>30</v>
      </c>
      <c r="E64" s="1">
        <v>72</v>
      </c>
      <c r="F64" s="1">
        <v>72</v>
      </c>
      <c r="I64" s="24" t="s">
        <v>12</v>
      </c>
      <c r="J64" s="10"/>
    </row>
    <row r="65" spans="1:10">
      <c r="A65" s="14">
        <v>46032</v>
      </c>
      <c r="B65" s="1" t="s">
        <v>10</v>
      </c>
      <c r="C65" s="1">
        <v>625</v>
      </c>
      <c r="D65" s="27" t="s">
        <v>16</v>
      </c>
      <c r="E65" s="1">
        <v>6</v>
      </c>
      <c r="F65" s="1">
        <v>6</v>
      </c>
      <c r="I65" s="24" t="s">
        <v>12</v>
      </c>
      <c r="J65" s="10"/>
    </row>
    <row r="66" spans="1:10">
      <c r="A66" s="14">
        <v>46032</v>
      </c>
      <c r="B66" s="1" t="s">
        <v>10</v>
      </c>
      <c r="C66" s="1">
        <v>991</v>
      </c>
      <c r="D66" s="27" t="s">
        <v>33</v>
      </c>
      <c r="E66" s="1">
        <v>16</v>
      </c>
      <c r="F66" s="1">
        <v>16</v>
      </c>
      <c r="I66" s="24" t="s">
        <v>12</v>
      </c>
      <c r="J66" s="10"/>
    </row>
    <row r="67" spans="1:10">
      <c r="A67" s="14">
        <v>46033</v>
      </c>
      <c r="B67" s="1" t="s">
        <v>19</v>
      </c>
      <c r="C67" s="1">
        <v>813</v>
      </c>
      <c r="D67" s="27" t="s">
        <v>38</v>
      </c>
      <c r="E67" s="1">
        <v>510</v>
      </c>
      <c r="F67" s="1">
        <v>510</v>
      </c>
      <c r="H67" s="1" t="s">
        <v>39</v>
      </c>
      <c r="I67" s="24" t="s">
        <v>12</v>
      </c>
      <c r="J67" s="10">
        <f>SUM(F68:F73)</f>
        <v>376</v>
      </c>
    </row>
    <row r="68" spans="1:10">
      <c r="A68" s="14">
        <v>46033</v>
      </c>
      <c r="B68" s="1" t="s">
        <v>10</v>
      </c>
      <c r="C68" s="1">
        <v>987</v>
      </c>
      <c r="D68" s="27" t="s">
        <v>11</v>
      </c>
      <c r="E68" s="1">
        <v>94</v>
      </c>
      <c r="F68" s="1">
        <v>94</v>
      </c>
      <c r="I68" s="24" t="s">
        <v>12</v>
      </c>
      <c r="J68" s="10"/>
    </row>
    <row r="69" spans="1:10">
      <c r="A69" s="14">
        <v>46033</v>
      </c>
      <c r="B69" s="1" t="s">
        <v>10</v>
      </c>
      <c r="C69" s="1">
        <v>978</v>
      </c>
      <c r="D69" s="27" t="s">
        <v>26</v>
      </c>
      <c r="E69" s="1">
        <v>94</v>
      </c>
      <c r="F69" s="1">
        <v>94</v>
      </c>
      <c r="I69" s="24" t="s">
        <v>12</v>
      </c>
      <c r="J69" s="10"/>
    </row>
    <row r="70" spans="1:10">
      <c r="A70" s="14">
        <v>46033</v>
      </c>
      <c r="B70" s="1" t="s">
        <v>10</v>
      </c>
      <c r="C70" s="1">
        <v>962</v>
      </c>
      <c r="D70" s="27" t="s">
        <v>13</v>
      </c>
      <c r="E70" s="1">
        <v>72</v>
      </c>
      <c r="F70" s="1">
        <v>72</v>
      </c>
      <c r="I70" s="24" t="s">
        <v>12</v>
      </c>
      <c r="J70" s="10"/>
    </row>
    <row r="71" spans="1:10">
      <c r="A71" s="14">
        <v>46033</v>
      </c>
      <c r="B71" s="1" t="s">
        <v>10</v>
      </c>
      <c r="C71" s="1">
        <v>965</v>
      </c>
      <c r="D71" s="27" t="s">
        <v>27</v>
      </c>
      <c r="E71" s="1">
        <v>48</v>
      </c>
      <c r="F71" s="1">
        <v>48</v>
      </c>
      <c r="I71" s="24" t="s">
        <v>12</v>
      </c>
      <c r="J71" s="10"/>
    </row>
    <row r="72" spans="1:10">
      <c r="A72" s="14">
        <v>46033</v>
      </c>
      <c r="B72" s="1" t="s">
        <v>10</v>
      </c>
      <c r="C72" s="1">
        <v>963</v>
      </c>
      <c r="D72" s="27" t="s">
        <v>34</v>
      </c>
      <c r="E72" s="1">
        <v>50</v>
      </c>
      <c r="F72" s="1">
        <v>50</v>
      </c>
      <c r="I72" s="24" t="s">
        <v>12</v>
      </c>
      <c r="J72" s="10"/>
    </row>
    <row r="73" spans="1:10">
      <c r="A73" s="14">
        <v>46033</v>
      </c>
      <c r="B73" s="1" t="s">
        <v>10</v>
      </c>
      <c r="C73" s="1">
        <v>985</v>
      </c>
      <c r="D73" s="27" t="s">
        <v>28</v>
      </c>
      <c r="E73" s="1">
        <v>18</v>
      </c>
      <c r="F73" s="1">
        <v>18</v>
      </c>
      <c r="I73" s="24" t="s">
        <v>12</v>
      </c>
      <c r="J73" s="10"/>
    </row>
    <row r="74" spans="1:10">
      <c r="A74" s="14">
        <v>46034</v>
      </c>
      <c r="B74" s="1" t="s">
        <v>10</v>
      </c>
      <c r="C74" s="1">
        <v>963</v>
      </c>
      <c r="D74" s="27" t="s">
        <v>34</v>
      </c>
      <c r="E74" s="1">
        <v>55</v>
      </c>
      <c r="F74" s="1">
        <v>55</v>
      </c>
      <c r="I74" s="24" t="s">
        <v>12</v>
      </c>
      <c r="J74" s="10">
        <f>SUM(F74:F81)</f>
        <v>386</v>
      </c>
    </row>
    <row r="75" spans="1:10">
      <c r="A75" s="14">
        <v>46034</v>
      </c>
      <c r="B75" s="1" t="s">
        <v>10</v>
      </c>
      <c r="C75" s="1">
        <v>991</v>
      </c>
      <c r="D75" s="27" t="s">
        <v>33</v>
      </c>
      <c r="E75" s="1">
        <v>20</v>
      </c>
      <c r="F75" s="1">
        <v>20</v>
      </c>
      <c r="I75" s="24" t="s">
        <v>12</v>
      </c>
      <c r="J75" s="10"/>
    </row>
    <row r="76" spans="1:10">
      <c r="A76" s="14">
        <v>46034</v>
      </c>
      <c r="B76" s="1" t="s">
        <v>10</v>
      </c>
      <c r="C76" s="1">
        <v>992</v>
      </c>
      <c r="D76" s="27" t="s">
        <v>15</v>
      </c>
      <c r="E76" s="1">
        <v>17</v>
      </c>
      <c r="F76" s="1">
        <v>17</v>
      </c>
      <c r="I76" s="24" t="s">
        <v>12</v>
      </c>
      <c r="J76" s="10"/>
    </row>
    <row r="77" spans="1:10">
      <c r="A77" s="14">
        <v>46034</v>
      </c>
      <c r="B77" s="1" t="s">
        <v>10</v>
      </c>
      <c r="C77" s="1">
        <v>625</v>
      </c>
      <c r="D77" s="27" t="s">
        <v>16</v>
      </c>
      <c r="E77" s="1">
        <v>100</v>
      </c>
      <c r="F77" s="1">
        <v>100</v>
      </c>
      <c r="I77" s="24" t="s">
        <v>12</v>
      </c>
      <c r="J77" s="10"/>
    </row>
    <row r="78" spans="1:10">
      <c r="A78" s="14">
        <v>46034</v>
      </c>
      <c r="B78" s="1" t="s">
        <v>10</v>
      </c>
      <c r="C78" s="1">
        <v>6639</v>
      </c>
      <c r="D78" s="27" t="s">
        <v>29</v>
      </c>
      <c r="E78" s="1">
        <v>102</v>
      </c>
      <c r="F78" s="1">
        <v>102</v>
      </c>
      <c r="I78" s="24" t="s">
        <v>12</v>
      </c>
      <c r="J78" s="10"/>
    </row>
    <row r="79" spans="1:10">
      <c r="A79" s="14">
        <v>46034</v>
      </c>
      <c r="B79" s="1" t="s">
        <v>10</v>
      </c>
      <c r="C79" s="1">
        <v>632</v>
      </c>
      <c r="D79" s="27" t="s">
        <v>17</v>
      </c>
      <c r="E79" s="1">
        <v>34</v>
      </c>
      <c r="F79" s="1">
        <v>34</v>
      </c>
      <c r="I79" s="24" t="s">
        <v>12</v>
      </c>
      <c r="J79" s="10"/>
    </row>
    <row r="80" spans="1:10">
      <c r="A80" s="14">
        <v>46034</v>
      </c>
      <c r="B80" s="1" t="s">
        <v>10</v>
      </c>
      <c r="C80" s="1">
        <v>909</v>
      </c>
      <c r="D80" s="27" t="s">
        <v>30</v>
      </c>
      <c r="E80" s="1">
        <v>30</v>
      </c>
      <c r="F80" s="1">
        <v>30</v>
      </c>
      <c r="I80" s="24" t="s">
        <v>12</v>
      </c>
      <c r="J80" s="10"/>
    </row>
    <row r="81" spans="1:10">
      <c r="A81" s="14">
        <v>46034</v>
      </c>
      <c r="B81" s="1" t="s">
        <v>10</v>
      </c>
      <c r="C81" s="1">
        <v>8839</v>
      </c>
      <c r="D81" s="27" t="s">
        <v>32</v>
      </c>
      <c r="E81" s="1">
        <v>28</v>
      </c>
      <c r="F81" s="1">
        <v>28</v>
      </c>
      <c r="I81" s="24" t="s">
        <v>12</v>
      </c>
      <c r="J81" s="10"/>
    </row>
  </sheetData>
  <mergeCells count="10">
    <mergeCell ref="J2:J12"/>
    <mergeCell ref="J13:J20"/>
    <mergeCell ref="J21:J35"/>
    <mergeCell ref="J36:J39"/>
    <mergeCell ref="J40:J51"/>
    <mergeCell ref="J52:J53"/>
    <mergeCell ref="J54:J57"/>
    <mergeCell ref="J58:J66"/>
    <mergeCell ref="J67:J73"/>
    <mergeCell ref="J74:J81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1"/>
  <sheetViews>
    <sheetView zoomScale="74" zoomScaleNormal="74" workbookViewId="0">
      <pane ySplit="1" topLeftCell="A2" activePane="bottomLeft" state="frozen"/>
      <selection/>
      <selection pane="bottomLeft" activeCell="A10" sqref="A10"/>
    </sheetView>
  </sheetViews>
  <sheetFormatPr defaultColWidth="10" defaultRowHeight="13.5"/>
  <cols>
    <col min="1" max="4" width="10" style="1" customWidth="1"/>
    <col min="5" max="5" width="10" style="2" customWidth="1"/>
    <col min="6" max="11" width="10" style="1" customWidth="1"/>
  </cols>
  <sheetData>
    <row r="1" spans="1:52">
      <c r="A1" s="3" t="s">
        <v>0</v>
      </c>
      <c r="B1" s="3" t="s">
        <v>40</v>
      </c>
      <c r="C1" s="4" t="s">
        <v>1</v>
      </c>
      <c r="D1" s="4" t="s">
        <v>2</v>
      </c>
      <c r="E1" s="12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6" t="s">
        <v>9</v>
      </c>
      <c r="L1" s="7"/>
      <c r="M1" s="7"/>
      <c r="N1" s="7"/>
      <c r="O1" s="7"/>
      <c r="P1" s="7"/>
      <c r="Q1" s="7"/>
      <c r="R1" s="7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</row>
    <row r="2" spans="1:52">
      <c r="A2" s="9">
        <v>46081</v>
      </c>
      <c r="B2" s="13" t="s">
        <v>41</v>
      </c>
      <c r="C2" s="1" t="s">
        <v>19</v>
      </c>
      <c r="D2" s="1">
        <v>853</v>
      </c>
      <c r="E2" s="2" t="str">
        <f t="shared" ref="E2:E11" si="0">D2&amp;"#"</f>
        <v>853#</v>
      </c>
      <c r="F2" s="1">
        <v>612</v>
      </c>
      <c r="G2" s="1">
        <v>612</v>
      </c>
      <c r="J2" s="1" t="s">
        <v>12</v>
      </c>
      <c r="K2" s="10">
        <f>SUM(G2:G11)</f>
        <v>4462</v>
      </c>
    </row>
    <row r="3" spans="1:52">
      <c r="A3" s="9">
        <v>46081</v>
      </c>
      <c r="B3" s="1" t="s">
        <v>42</v>
      </c>
      <c r="C3" s="1" t="s">
        <v>19</v>
      </c>
      <c r="D3" s="1">
        <v>875</v>
      </c>
      <c r="E3" s="2" t="str">
        <f t="shared" si="0"/>
        <v>875#</v>
      </c>
      <c r="F3" s="1">
        <v>8</v>
      </c>
      <c r="G3" s="1">
        <v>8</v>
      </c>
      <c r="J3" s="1" t="s">
        <v>12</v>
      </c>
      <c r="K3" s="10"/>
    </row>
    <row r="4" spans="1:52">
      <c r="A4" s="9">
        <v>46081</v>
      </c>
      <c r="B4" s="1" t="s">
        <v>42</v>
      </c>
      <c r="C4" s="1" t="s">
        <v>19</v>
      </c>
      <c r="D4" s="1">
        <v>856</v>
      </c>
      <c r="E4" s="2" t="str">
        <f t="shared" si="0"/>
        <v>856#</v>
      </c>
      <c r="F4" s="1">
        <v>280</v>
      </c>
      <c r="G4" s="1">
        <v>280</v>
      </c>
      <c r="J4" s="1" t="s">
        <v>12</v>
      </c>
      <c r="K4" s="10"/>
    </row>
    <row r="5" spans="1:52">
      <c r="A5" s="9">
        <v>46081</v>
      </c>
      <c r="B5" s="1" t="s">
        <v>42</v>
      </c>
      <c r="C5" s="1" t="s">
        <v>19</v>
      </c>
      <c r="D5" s="1">
        <v>807</v>
      </c>
      <c r="E5" s="2" t="str">
        <f t="shared" si="0"/>
        <v>807#</v>
      </c>
      <c r="F5" s="1">
        <v>60</v>
      </c>
      <c r="G5" s="1">
        <v>60</v>
      </c>
      <c r="J5" s="1" t="s">
        <v>12</v>
      </c>
      <c r="K5" s="10"/>
    </row>
    <row r="6" spans="1:52">
      <c r="A6" s="9">
        <v>46081</v>
      </c>
      <c r="B6" s="1" t="s">
        <v>42</v>
      </c>
      <c r="C6" s="1" t="s">
        <v>19</v>
      </c>
      <c r="D6" s="1">
        <v>856</v>
      </c>
      <c r="E6" s="2" t="str">
        <f t="shared" si="0"/>
        <v>856#</v>
      </c>
      <c r="F6" s="1">
        <v>780</v>
      </c>
      <c r="G6" s="1">
        <v>780</v>
      </c>
      <c r="J6" s="1" t="s">
        <v>12</v>
      </c>
      <c r="K6" s="10"/>
    </row>
    <row r="7" spans="1:52">
      <c r="A7" s="9">
        <v>46081</v>
      </c>
      <c r="B7" s="1" t="s">
        <v>41</v>
      </c>
      <c r="C7" s="1" t="s">
        <v>19</v>
      </c>
      <c r="D7" s="1">
        <v>880</v>
      </c>
      <c r="E7" s="2" t="str">
        <f t="shared" si="0"/>
        <v>880#</v>
      </c>
      <c r="F7" s="1">
        <v>76</v>
      </c>
      <c r="G7" s="1">
        <v>76</v>
      </c>
      <c r="J7" s="1" t="s">
        <v>12</v>
      </c>
      <c r="K7" s="10"/>
    </row>
    <row r="8" spans="1:52">
      <c r="A8" s="9">
        <v>46081</v>
      </c>
      <c r="B8" s="1" t="s">
        <v>41</v>
      </c>
      <c r="C8" s="1" t="s">
        <v>19</v>
      </c>
      <c r="D8" s="1">
        <v>865</v>
      </c>
      <c r="E8" s="2" t="str">
        <f t="shared" si="0"/>
        <v>865#</v>
      </c>
      <c r="F8" s="1">
        <v>1092</v>
      </c>
      <c r="G8" s="1">
        <v>1092</v>
      </c>
      <c r="J8" s="1" t="s">
        <v>12</v>
      </c>
      <c r="K8" s="10"/>
    </row>
    <row r="9" spans="1:52">
      <c r="A9" s="9">
        <v>46081</v>
      </c>
      <c r="B9" s="1" t="s">
        <v>43</v>
      </c>
      <c r="C9" s="1" t="s">
        <v>19</v>
      </c>
      <c r="D9" s="1">
        <v>871</v>
      </c>
      <c r="E9" s="2" t="str">
        <f t="shared" si="0"/>
        <v>871#</v>
      </c>
      <c r="F9" s="1">
        <v>492</v>
      </c>
      <c r="G9" s="1">
        <v>492</v>
      </c>
      <c r="J9" s="1" t="s">
        <v>12</v>
      </c>
      <c r="K9" s="10"/>
    </row>
    <row r="10" spans="1:52">
      <c r="A10" s="9">
        <v>46081</v>
      </c>
      <c r="B10" s="1" t="s">
        <v>43</v>
      </c>
      <c r="C10" s="1" t="s">
        <v>19</v>
      </c>
      <c r="D10" s="1">
        <v>809</v>
      </c>
      <c r="E10" s="2" t="str">
        <f t="shared" si="0"/>
        <v>809#</v>
      </c>
      <c r="F10" s="1">
        <v>492</v>
      </c>
      <c r="G10" s="1">
        <v>492</v>
      </c>
      <c r="J10" s="1" t="s">
        <v>12</v>
      </c>
      <c r="K10" s="10"/>
    </row>
    <row r="11" spans="1:52">
      <c r="A11" s="9">
        <v>46081</v>
      </c>
      <c r="B11" s="1" t="s">
        <v>43</v>
      </c>
      <c r="C11" s="1" t="s">
        <v>19</v>
      </c>
      <c r="D11" s="1">
        <v>857</v>
      </c>
      <c r="E11" s="2" t="str">
        <f t="shared" si="0"/>
        <v>857#</v>
      </c>
      <c r="F11" s="1">
        <v>570</v>
      </c>
      <c r="G11" s="1">
        <v>570</v>
      </c>
      <c r="J11" s="1" t="s">
        <v>12</v>
      </c>
      <c r="K11" s="10"/>
    </row>
  </sheetData>
  <mergeCells count="1">
    <mergeCell ref="K2:K11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396"/>
  <sheetViews>
    <sheetView zoomScale="74" zoomScaleNormal="74" workbookViewId="0">
      <pane ySplit="1" topLeftCell="A87" activePane="bottomLeft" state="frozen"/>
      <selection/>
      <selection pane="bottomLeft" activeCell="A105" sqref="A105"/>
    </sheetView>
  </sheetViews>
  <sheetFormatPr defaultColWidth="10" defaultRowHeight="13.5"/>
  <cols>
    <col min="1" max="4" width="10" style="1" customWidth="1"/>
    <col min="5" max="5" width="10" style="2" customWidth="1"/>
    <col min="6" max="11" width="10" style="1" customWidth="1"/>
  </cols>
  <sheetData>
    <row r="1" spans="1:52">
      <c r="A1" s="3" t="s">
        <v>0</v>
      </c>
      <c r="B1" s="3" t="s">
        <v>40</v>
      </c>
      <c r="C1" s="4" t="s">
        <v>1</v>
      </c>
      <c r="D1" s="4" t="s">
        <v>2</v>
      </c>
      <c r="E1" s="5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6" t="s">
        <v>9</v>
      </c>
      <c r="L1" s="7"/>
      <c r="M1" s="7"/>
      <c r="N1" s="7"/>
      <c r="O1" s="7"/>
      <c r="P1" s="7"/>
      <c r="Q1" s="7"/>
      <c r="R1" s="7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</row>
    <row r="2" spans="1:52">
      <c r="A2" s="9">
        <v>46082</v>
      </c>
      <c r="B2" s="1" t="s">
        <v>41</v>
      </c>
      <c r="C2" s="1" t="s">
        <v>19</v>
      </c>
      <c r="D2" s="1">
        <v>860</v>
      </c>
      <c r="E2" s="11" t="s">
        <v>44</v>
      </c>
      <c r="F2" s="1">
        <v>372</v>
      </c>
      <c r="G2" s="1">
        <v>372</v>
      </c>
      <c r="J2" s="1" t="s">
        <v>12</v>
      </c>
      <c r="K2" s="10">
        <f>SUM(G2:G16)</f>
        <v>5971</v>
      </c>
    </row>
    <row r="3" spans="1:52">
      <c r="A3" s="9">
        <v>46082</v>
      </c>
      <c r="B3" s="1" t="s">
        <v>41</v>
      </c>
      <c r="C3" s="1" t="s">
        <v>19</v>
      </c>
      <c r="D3" s="1">
        <v>861</v>
      </c>
      <c r="E3" s="11" t="s">
        <v>45</v>
      </c>
      <c r="F3" s="1">
        <v>372</v>
      </c>
      <c r="G3" s="1">
        <v>372</v>
      </c>
      <c r="J3" s="1" t="s">
        <v>12</v>
      </c>
      <c r="K3" s="10"/>
    </row>
    <row r="4" spans="1:52">
      <c r="A4" s="9">
        <v>46082</v>
      </c>
      <c r="B4" s="1" t="s">
        <v>41</v>
      </c>
      <c r="C4" s="1" t="s">
        <v>19</v>
      </c>
      <c r="D4" s="1">
        <v>863</v>
      </c>
      <c r="E4" s="11" t="s">
        <v>46</v>
      </c>
      <c r="F4" s="1">
        <v>372</v>
      </c>
      <c r="G4" s="1">
        <v>372</v>
      </c>
      <c r="J4" s="1" t="s">
        <v>12</v>
      </c>
      <c r="K4" s="10"/>
    </row>
    <row r="5" spans="1:52">
      <c r="A5" s="9">
        <v>46082</v>
      </c>
      <c r="B5" s="1" t="s">
        <v>41</v>
      </c>
      <c r="C5" s="1" t="s">
        <v>19</v>
      </c>
      <c r="D5" s="1">
        <v>818</v>
      </c>
      <c r="E5" s="11" t="s">
        <v>47</v>
      </c>
      <c r="F5" s="1">
        <v>520</v>
      </c>
      <c r="G5" s="1">
        <v>520</v>
      </c>
      <c r="J5" s="1" t="s">
        <v>12</v>
      </c>
      <c r="K5" s="10"/>
    </row>
    <row r="6" spans="1:52">
      <c r="A6" s="9">
        <v>46082</v>
      </c>
      <c r="B6" s="1" t="s">
        <v>41</v>
      </c>
      <c r="C6" s="1" t="s">
        <v>19</v>
      </c>
      <c r="D6" s="1">
        <v>817</v>
      </c>
      <c r="E6" s="11" t="s">
        <v>48</v>
      </c>
      <c r="F6" s="1">
        <v>452</v>
      </c>
      <c r="G6" s="1">
        <v>452</v>
      </c>
      <c r="J6" s="1" t="s">
        <v>12</v>
      </c>
      <c r="K6" s="10"/>
    </row>
    <row r="7" spans="1:52">
      <c r="A7" s="9">
        <v>46082</v>
      </c>
      <c r="B7" s="1" t="s">
        <v>41</v>
      </c>
      <c r="C7" s="1" t="s">
        <v>19</v>
      </c>
      <c r="D7" s="1">
        <v>880</v>
      </c>
      <c r="E7" s="11" t="s">
        <v>24</v>
      </c>
      <c r="F7" s="1">
        <v>242</v>
      </c>
      <c r="G7" s="1">
        <v>242</v>
      </c>
      <c r="J7" s="1" t="s">
        <v>12</v>
      </c>
      <c r="K7" s="10"/>
    </row>
    <row r="8" spans="1:52">
      <c r="A8" s="9">
        <v>46082</v>
      </c>
      <c r="B8" s="1" t="s">
        <v>41</v>
      </c>
      <c r="C8" s="1" t="s">
        <v>19</v>
      </c>
      <c r="D8" s="1">
        <v>896</v>
      </c>
      <c r="E8" s="11" t="s">
        <v>25</v>
      </c>
      <c r="F8" s="1">
        <v>121</v>
      </c>
      <c r="G8" s="1">
        <v>121</v>
      </c>
      <c r="J8" s="1" t="s">
        <v>12</v>
      </c>
      <c r="K8" s="10"/>
    </row>
    <row r="9" spans="1:52">
      <c r="A9" s="9">
        <v>46082</v>
      </c>
      <c r="B9" s="1" t="s">
        <v>41</v>
      </c>
      <c r="C9" s="1" t="s">
        <v>19</v>
      </c>
      <c r="D9" s="1">
        <v>840</v>
      </c>
      <c r="E9" s="11" t="s">
        <v>35</v>
      </c>
      <c r="F9" s="1">
        <v>548</v>
      </c>
      <c r="G9" s="1">
        <v>548</v>
      </c>
      <c r="J9" s="1" t="s">
        <v>12</v>
      </c>
      <c r="K9" s="10"/>
    </row>
    <row r="10" spans="1:52">
      <c r="A10" s="9">
        <v>46082</v>
      </c>
      <c r="B10" s="1" t="s">
        <v>41</v>
      </c>
      <c r="C10" s="1" t="s">
        <v>19</v>
      </c>
      <c r="D10" s="1">
        <v>859</v>
      </c>
      <c r="E10" s="11" t="s">
        <v>20</v>
      </c>
      <c r="F10" s="1">
        <v>274</v>
      </c>
      <c r="G10" s="1">
        <v>274</v>
      </c>
      <c r="J10" s="1" t="s">
        <v>12</v>
      </c>
      <c r="K10" s="10"/>
    </row>
    <row r="11" spans="1:52">
      <c r="A11" s="9">
        <v>46082</v>
      </c>
      <c r="B11" s="1" t="s">
        <v>41</v>
      </c>
      <c r="C11" s="1" t="s">
        <v>19</v>
      </c>
      <c r="D11" s="1">
        <v>853</v>
      </c>
      <c r="E11" s="11" t="s">
        <v>49</v>
      </c>
      <c r="F11" s="1">
        <v>822</v>
      </c>
      <c r="G11" s="1">
        <v>822</v>
      </c>
      <c r="J11" s="1" t="s">
        <v>12</v>
      </c>
      <c r="K11" s="10"/>
    </row>
    <row r="12" spans="1:52">
      <c r="A12" s="9">
        <v>46082</v>
      </c>
      <c r="B12" s="1" t="s">
        <v>41</v>
      </c>
      <c r="C12" s="1" t="s">
        <v>19</v>
      </c>
      <c r="D12" s="1">
        <v>810</v>
      </c>
      <c r="E12" s="11" t="s">
        <v>50</v>
      </c>
      <c r="F12" s="1">
        <v>141</v>
      </c>
      <c r="G12" s="1">
        <v>141</v>
      </c>
      <c r="J12" s="1" t="s">
        <v>12</v>
      </c>
      <c r="K12" s="10"/>
    </row>
    <row r="13" spans="1:52">
      <c r="A13" s="9">
        <v>46082</v>
      </c>
      <c r="B13" s="1" t="s">
        <v>41</v>
      </c>
      <c r="C13" s="1" t="s">
        <v>19</v>
      </c>
      <c r="D13" s="1">
        <v>820</v>
      </c>
      <c r="E13" s="11" t="s">
        <v>51</v>
      </c>
      <c r="F13" s="1">
        <v>21</v>
      </c>
      <c r="G13" s="1">
        <v>21</v>
      </c>
      <c r="J13" s="1" t="s">
        <v>12</v>
      </c>
      <c r="K13" s="10"/>
    </row>
    <row r="14" spans="1:52">
      <c r="A14" s="9">
        <v>46082</v>
      </c>
      <c r="B14" s="1" t="s">
        <v>42</v>
      </c>
      <c r="C14" s="1" t="s">
        <v>19</v>
      </c>
      <c r="D14" s="1">
        <v>875</v>
      </c>
      <c r="E14" s="11" t="s">
        <v>52</v>
      </c>
      <c r="F14" s="1">
        <v>424</v>
      </c>
      <c r="G14" s="1">
        <v>424</v>
      </c>
      <c r="J14" s="1" t="s">
        <v>12</v>
      </c>
      <c r="K14" s="10"/>
    </row>
    <row r="15" spans="1:52">
      <c r="A15" s="9">
        <v>46082</v>
      </c>
      <c r="B15" s="1" t="s">
        <v>42</v>
      </c>
      <c r="C15" s="1" t="s">
        <v>19</v>
      </c>
      <c r="D15" s="1">
        <v>807</v>
      </c>
      <c r="E15" s="11" t="s">
        <v>53</v>
      </c>
      <c r="F15" s="1">
        <v>288</v>
      </c>
      <c r="G15" s="1">
        <v>288</v>
      </c>
      <c r="J15" s="1" t="s">
        <v>12</v>
      </c>
      <c r="K15" s="10"/>
    </row>
    <row r="16" spans="1:52">
      <c r="A16" s="9">
        <v>46082</v>
      </c>
      <c r="B16" s="1" t="s">
        <v>41</v>
      </c>
      <c r="C16" s="1" t="s">
        <v>19</v>
      </c>
      <c r="D16" s="1">
        <v>865</v>
      </c>
      <c r="E16" s="11" t="s">
        <v>22</v>
      </c>
      <c r="F16" s="1">
        <v>1002</v>
      </c>
      <c r="G16" s="1">
        <v>1002</v>
      </c>
      <c r="J16" s="1" t="s">
        <v>12</v>
      </c>
      <c r="K16" s="10"/>
    </row>
    <row r="17" spans="1:11">
      <c r="A17" s="9">
        <v>46083</v>
      </c>
      <c r="B17" s="1" t="s">
        <v>42</v>
      </c>
      <c r="C17" s="1" t="s">
        <v>19</v>
      </c>
      <c r="D17" s="1">
        <v>856</v>
      </c>
      <c r="E17" s="11" t="s">
        <v>54</v>
      </c>
      <c r="F17" s="1">
        <v>492</v>
      </c>
      <c r="G17" s="1">
        <v>492</v>
      </c>
      <c r="J17" s="1" t="s">
        <v>12</v>
      </c>
      <c r="K17" s="10">
        <f>SUM(G17:G24)</f>
        <v>3652</v>
      </c>
    </row>
    <row r="18" spans="1:11">
      <c r="A18" s="9">
        <v>46083</v>
      </c>
      <c r="B18" s="1" t="s">
        <v>41</v>
      </c>
      <c r="C18" s="1" t="s">
        <v>19</v>
      </c>
      <c r="D18" s="1">
        <v>860</v>
      </c>
      <c r="E18" s="11" t="s">
        <v>44</v>
      </c>
      <c r="F18" s="1">
        <v>544</v>
      </c>
      <c r="G18" s="1">
        <v>544</v>
      </c>
      <c r="J18" s="1" t="s">
        <v>12</v>
      </c>
      <c r="K18" s="10"/>
    </row>
    <row r="19" spans="1:11">
      <c r="A19" s="9">
        <v>46083</v>
      </c>
      <c r="B19" s="1" t="s">
        <v>41</v>
      </c>
      <c r="C19" s="1" t="s">
        <v>19</v>
      </c>
      <c r="D19" s="1">
        <v>861</v>
      </c>
      <c r="E19" s="11" t="s">
        <v>45</v>
      </c>
      <c r="F19" s="1">
        <v>516</v>
      </c>
      <c r="G19" s="1">
        <v>516</v>
      </c>
      <c r="J19" s="1" t="s">
        <v>12</v>
      </c>
      <c r="K19" s="10"/>
    </row>
    <row r="20" spans="1:11">
      <c r="A20" s="9">
        <v>46083</v>
      </c>
      <c r="B20" s="1" t="s">
        <v>41</v>
      </c>
      <c r="C20" s="1" t="s">
        <v>19</v>
      </c>
      <c r="D20" s="1">
        <v>609</v>
      </c>
      <c r="E20" s="11" t="s">
        <v>55</v>
      </c>
      <c r="F20" s="1">
        <v>508</v>
      </c>
      <c r="G20" s="1">
        <v>508</v>
      </c>
      <c r="J20" s="1" t="s">
        <v>12</v>
      </c>
      <c r="K20" s="10"/>
    </row>
    <row r="21" spans="1:11">
      <c r="A21" s="9">
        <v>46083</v>
      </c>
      <c r="B21" s="1" t="s">
        <v>41</v>
      </c>
      <c r="C21" s="1" t="s">
        <v>19</v>
      </c>
      <c r="D21" s="1">
        <v>850</v>
      </c>
      <c r="E21" s="11" t="s">
        <v>56</v>
      </c>
      <c r="F21" s="1">
        <v>332</v>
      </c>
      <c r="G21" s="1">
        <v>332</v>
      </c>
      <c r="J21" s="1" t="s">
        <v>12</v>
      </c>
      <c r="K21" s="10"/>
    </row>
    <row r="22" spans="1:11">
      <c r="A22" s="9">
        <v>46083</v>
      </c>
      <c r="B22" s="1" t="s">
        <v>41</v>
      </c>
      <c r="C22" s="1" t="s">
        <v>19</v>
      </c>
      <c r="D22" s="1">
        <v>818</v>
      </c>
      <c r="E22" s="11" t="s">
        <v>47</v>
      </c>
      <c r="F22" s="1">
        <v>548</v>
      </c>
      <c r="G22" s="1">
        <v>548</v>
      </c>
      <c r="J22" s="1" t="s">
        <v>12</v>
      </c>
      <c r="K22" s="10"/>
    </row>
    <row r="23" spans="1:11">
      <c r="A23" s="9">
        <v>46083</v>
      </c>
      <c r="B23" s="1" t="s">
        <v>41</v>
      </c>
      <c r="C23" s="1" t="s">
        <v>19</v>
      </c>
      <c r="D23" s="1">
        <v>817</v>
      </c>
      <c r="E23" s="11" t="s">
        <v>48</v>
      </c>
      <c r="F23" s="1">
        <v>440</v>
      </c>
      <c r="G23" s="1">
        <v>440</v>
      </c>
      <c r="J23" s="1" t="s">
        <v>12</v>
      </c>
      <c r="K23" s="10"/>
    </row>
    <row r="24" spans="1:11">
      <c r="A24" s="9">
        <v>46083</v>
      </c>
      <c r="B24" s="1" t="s">
        <v>41</v>
      </c>
      <c r="C24" s="1" t="s">
        <v>19</v>
      </c>
      <c r="D24" s="1">
        <v>880</v>
      </c>
      <c r="E24" s="11" t="s">
        <v>24</v>
      </c>
      <c r="F24" s="1">
        <v>272</v>
      </c>
      <c r="G24" s="1">
        <v>272</v>
      </c>
      <c r="J24" s="1" t="s">
        <v>12</v>
      </c>
      <c r="K24" s="10"/>
    </row>
    <row r="25" spans="1:11">
      <c r="A25" s="9">
        <v>46084</v>
      </c>
      <c r="B25" s="1" t="s">
        <v>41</v>
      </c>
      <c r="C25" s="1" t="s">
        <v>19</v>
      </c>
      <c r="D25" s="1">
        <v>865</v>
      </c>
      <c r="E25" s="11" t="s">
        <v>22</v>
      </c>
      <c r="F25" s="1">
        <v>226</v>
      </c>
      <c r="G25" s="1">
        <v>226</v>
      </c>
      <c r="J25" s="1" t="s">
        <v>12</v>
      </c>
      <c r="K25" s="10">
        <f>SUM(G25:G37)</f>
        <v>6308</v>
      </c>
    </row>
    <row r="26" spans="1:11">
      <c r="A26" s="9">
        <v>46084</v>
      </c>
      <c r="B26" s="1" t="s">
        <v>41</v>
      </c>
      <c r="C26" s="1" t="s">
        <v>19</v>
      </c>
      <c r="D26" s="1">
        <v>866</v>
      </c>
      <c r="E26" s="11" t="s">
        <v>23</v>
      </c>
      <c r="F26" s="1">
        <v>226</v>
      </c>
      <c r="G26" s="1">
        <v>226</v>
      </c>
      <c r="J26" s="1" t="s">
        <v>12</v>
      </c>
      <c r="K26" s="10"/>
    </row>
    <row r="27" spans="1:11">
      <c r="A27" s="9">
        <v>46084</v>
      </c>
      <c r="B27" s="1" t="s">
        <v>41</v>
      </c>
      <c r="C27" s="1" t="s">
        <v>19</v>
      </c>
      <c r="D27" s="1">
        <v>851</v>
      </c>
      <c r="E27" s="11" t="s">
        <v>21</v>
      </c>
      <c r="F27" s="1">
        <v>702</v>
      </c>
      <c r="G27" s="1">
        <v>702</v>
      </c>
      <c r="J27" s="1" t="s">
        <v>12</v>
      </c>
      <c r="K27" s="10"/>
    </row>
    <row r="28" spans="1:11">
      <c r="A28" s="9">
        <v>46084</v>
      </c>
      <c r="B28" s="1" t="s">
        <v>41</v>
      </c>
      <c r="C28" s="1" t="s">
        <v>19</v>
      </c>
      <c r="D28" s="1">
        <v>858</v>
      </c>
      <c r="E28" s="11" t="s">
        <v>57</v>
      </c>
      <c r="F28" s="1">
        <v>376</v>
      </c>
      <c r="G28" s="1">
        <v>376</v>
      </c>
      <c r="J28" s="1" t="s">
        <v>12</v>
      </c>
      <c r="K28" s="10"/>
    </row>
    <row r="29" spans="1:11">
      <c r="A29" s="9">
        <v>46084</v>
      </c>
      <c r="B29" s="1" t="s">
        <v>41</v>
      </c>
      <c r="C29" s="1" t="s">
        <v>19</v>
      </c>
      <c r="D29" s="1">
        <v>609</v>
      </c>
      <c r="E29" s="11" t="s">
        <v>55</v>
      </c>
      <c r="F29" s="1">
        <v>492</v>
      </c>
      <c r="G29" s="1">
        <v>492</v>
      </c>
      <c r="J29" s="1" t="s">
        <v>12</v>
      </c>
      <c r="K29" s="10"/>
    </row>
    <row r="30" spans="1:11">
      <c r="A30" s="9">
        <v>46084</v>
      </c>
      <c r="B30" s="1" t="s">
        <v>41</v>
      </c>
      <c r="C30" s="1" t="s">
        <v>19</v>
      </c>
      <c r="D30" s="1">
        <v>810</v>
      </c>
      <c r="E30" s="11" t="s">
        <v>50</v>
      </c>
      <c r="F30" s="1">
        <v>102</v>
      </c>
      <c r="G30" s="1">
        <v>102</v>
      </c>
      <c r="J30" s="1" t="s">
        <v>12</v>
      </c>
      <c r="K30" s="10"/>
    </row>
    <row r="31" spans="1:11">
      <c r="A31" s="9">
        <v>46084</v>
      </c>
      <c r="B31" s="1" t="s">
        <v>41</v>
      </c>
      <c r="C31" s="1" t="s">
        <v>19</v>
      </c>
      <c r="D31" s="1">
        <v>840</v>
      </c>
      <c r="E31" s="11" t="s">
        <v>35</v>
      </c>
      <c r="F31" s="1">
        <v>700</v>
      </c>
      <c r="G31" s="1">
        <v>700</v>
      </c>
      <c r="J31" s="1" t="s">
        <v>12</v>
      </c>
      <c r="K31" s="10"/>
    </row>
    <row r="32" spans="1:11">
      <c r="A32" s="9">
        <v>46084</v>
      </c>
      <c r="B32" s="1" t="s">
        <v>41</v>
      </c>
      <c r="C32" s="1" t="s">
        <v>19</v>
      </c>
      <c r="D32" s="1">
        <v>853</v>
      </c>
      <c r="E32" s="11" t="s">
        <v>49</v>
      </c>
      <c r="F32" s="1">
        <v>696</v>
      </c>
      <c r="G32" s="1">
        <v>696</v>
      </c>
      <c r="J32" s="1" t="s">
        <v>12</v>
      </c>
      <c r="K32" s="10"/>
    </row>
    <row r="33" spans="1:11">
      <c r="A33" s="9">
        <v>46084</v>
      </c>
      <c r="B33" s="1" t="s">
        <v>41</v>
      </c>
      <c r="C33" s="1" t="s">
        <v>19</v>
      </c>
      <c r="D33" s="1">
        <v>859</v>
      </c>
      <c r="E33" s="11" t="s">
        <v>20</v>
      </c>
      <c r="F33" s="1">
        <v>282</v>
      </c>
      <c r="G33" s="1">
        <v>282</v>
      </c>
      <c r="J33" s="1" t="s">
        <v>12</v>
      </c>
      <c r="K33" s="10"/>
    </row>
    <row r="34" spans="1:11">
      <c r="A34" s="9">
        <v>46084</v>
      </c>
      <c r="B34" s="1" t="s">
        <v>43</v>
      </c>
      <c r="C34" s="1" t="s">
        <v>19</v>
      </c>
      <c r="D34" s="1">
        <v>613</v>
      </c>
      <c r="E34" s="11" t="s">
        <v>58</v>
      </c>
      <c r="F34" s="1">
        <v>680</v>
      </c>
      <c r="G34" s="1">
        <v>680</v>
      </c>
      <c r="J34" s="1" t="s">
        <v>12</v>
      </c>
      <c r="K34" s="10"/>
    </row>
    <row r="35" spans="1:11">
      <c r="A35" s="9">
        <v>46084</v>
      </c>
      <c r="B35" s="1" t="s">
        <v>43</v>
      </c>
      <c r="C35" s="1" t="s">
        <v>19</v>
      </c>
      <c r="D35" s="1">
        <v>885</v>
      </c>
      <c r="E35" s="11" t="s">
        <v>59</v>
      </c>
      <c r="F35" s="1">
        <v>560</v>
      </c>
      <c r="G35" s="1">
        <v>560</v>
      </c>
      <c r="J35" s="1" t="s">
        <v>12</v>
      </c>
      <c r="K35" s="10"/>
    </row>
    <row r="36" spans="1:11">
      <c r="A36" s="9">
        <v>46084</v>
      </c>
      <c r="B36" s="1" t="s">
        <v>41</v>
      </c>
      <c r="C36" s="1" t="s">
        <v>19</v>
      </c>
      <c r="D36" s="1">
        <v>861</v>
      </c>
      <c r="E36" s="11" t="s">
        <v>45</v>
      </c>
      <c r="F36" s="1">
        <v>684</v>
      </c>
      <c r="G36" s="1">
        <v>684</v>
      </c>
      <c r="J36" s="1" t="s">
        <v>12</v>
      </c>
      <c r="K36" s="10"/>
    </row>
    <row r="37" spans="1:11">
      <c r="A37" s="9">
        <v>46084</v>
      </c>
      <c r="B37" s="1" t="s">
        <v>41</v>
      </c>
      <c r="C37" s="1" t="s">
        <v>19</v>
      </c>
      <c r="D37" s="1">
        <v>860</v>
      </c>
      <c r="E37" s="11" t="s">
        <v>44</v>
      </c>
      <c r="F37" s="1">
        <v>582</v>
      </c>
      <c r="G37" s="1">
        <v>582</v>
      </c>
      <c r="J37" s="1" t="s">
        <v>12</v>
      </c>
      <c r="K37" s="10"/>
    </row>
    <row r="38" spans="1:11">
      <c r="A38" s="9">
        <v>46085</v>
      </c>
      <c r="B38" s="1" t="s">
        <v>41</v>
      </c>
      <c r="C38" s="1" t="s">
        <v>19</v>
      </c>
      <c r="D38" s="1">
        <v>865</v>
      </c>
      <c r="E38" s="11" t="s">
        <v>22</v>
      </c>
      <c r="F38" s="1">
        <v>1294</v>
      </c>
      <c r="G38" s="1">
        <v>1294</v>
      </c>
      <c r="J38" s="1" t="s">
        <v>12</v>
      </c>
      <c r="K38" s="10">
        <f>SUM(G38:G45)</f>
        <v>6636</v>
      </c>
    </row>
    <row r="39" spans="1:11">
      <c r="A39" s="9">
        <v>46085</v>
      </c>
      <c r="B39" s="1" t="s">
        <v>41</v>
      </c>
      <c r="C39" s="1" t="s">
        <v>19</v>
      </c>
      <c r="D39" s="1">
        <v>818</v>
      </c>
      <c r="E39" s="11" t="s">
        <v>47</v>
      </c>
      <c r="F39" s="1">
        <v>1080</v>
      </c>
      <c r="G39" s="1">
        <v>1080</v>
      </c>
      <c r="J39" s="1" t="s">
        <v>12</v>
      </c>
      <c r="K39" s="10"/>
    </row>
    <row r="40" spans="1:11">
      <c r="A40" s="9">
        <v>46085</v>
      </c>
      <c r="B40" s="1" t="s">
        <v>41</v>
      </c>
      <c r="C40" s="1" t="s">
        <v>19</v>
      </c>
      <c r="D40" s="1">
        <v>817</v>
      </c>
      <c r="E40" s="11" t="s">
        <v>48</v>
      </c>
      <c r="F40" s="1">
        <v>699</v>
      </c>
      <c r="G40" s="1">
        <v>699</v>
      </c>
      <c r="J40" s="1" t="s">
        <v>12</v>
      </c>
      <c r="K40" s="10"/>
    </row>
    <row r="41" spans="1:11">
      <c r="A41" s="9">
        <v>46085</v>
      </c>
      <c r="B41" s="1" t="s">
        <v>41</v>
      </c>
      <c r="C41" s="1" t="s">
        <v>19</v>
      </c>
      <c r="D41" s="1">
        <v>859</v>
      </c>
      <c r="E41" s="11" t="s">
        <v>20</v>
      </c>
      <c r="F41" s="1">
        <v>22</v>
      </c>
      <c r="G41" s="1">
        <v>22</v>
      </c>
      <c r="J41" s="1" t="s">
        <v>12</v>
      </c>
      <c r="K41" s="10"/>
    </row>
    <row r="42" spans="1:11">
      <c r="A42" s="9">
        <v>46085</v>
      </c>
      <c r="B42" s="1" t="s">
        <v>42</v>
      </c>
      <c r="C42" s="1" t="s">
        <v>19</v>
      </c>
      <c r="D42" s="1">
        <v>856</v>
      </c>
      <c r="E42" s="11" t="s">
        <v>54</v>
      </c>
      <c r="F42" s="1">
        <v>1516</v>
      </c>
      <c r="G42" s="1">
        <v>1516</v>
      </c>
      <c r="J42" s="1" t="s">
        <v>12</v>
      </c>
      <c r="K42" s="10"/>
    </row>
    <row r="43" spans="1:11">
      <c r="A43" s="9">
        <v>46085</v>
      </c>
      <c r="B43" s="1" t="s">
        <v>42</v>
      </c>
      <c r="C43" s="1" t="s">
        <v>19</v>
      </c>
      <c r="D43" s="1">
        <v>875</v>
      </c>
      <c r="E43" s="11" t="s">
        <v>52</v>
      </c>
      <c r="F43" s="1">
        <v>959</v>
      </c>
      <c r="G43" s="1">
        <v>959</v>
      </c>
      <c r="J43" s="1" t="s">
        <v>12</v>
      </c>
      <c r="K43" s="10"/>
    </row>
    <row r="44" spans="1:11">
      <c r="A44" s="9">
        <v>46085</v>
      </c>
      <c r="B44" s="1" t="s">
        <v>43</v>
      </c>
      <c r="C44" s="1" t="s">
        <v>19</v>
      </c>
      <c r="D44" s="1">
        <v>809</v>
      </c>
      <c r="E44" s="11" t="s">
        <v>36</v>
      </c>
      <c r="F44" s="1">
        <v>658</v>
      </c>
      <c r="G44" s="1">
        <v>658</v>
      </c>
      <c r="J44" s="1" t="s">
        <v>12</v>
      </c>
      <c r="K44" s="10"/>
    </row>
    <row r="45" spans="1:11">
      <c r="A45" s="9">
        <v>46085</v>
      </c>
      <c r="B45" s="1" t="s">
        <v>43</v>
      </c>
      <c r="C45" s="1" t="s">
        <v>19</v>
      </c>
      <c r="D45" s="1">
        <v>835</v>
      </c>
      <c r="E45" s="11" t="s">
        <v>37</v>
      </c>
      <c r="F45" s="1">
        <v>408</v>
      </c>
      <c r="G45" s="1">
        <v>408</v>
      </c>
      <c r="J45" s="1" t="s">
        <v>12</v>
      </c>
      <c r="K45" s="10"/>
    </row>
    <row r="46" spans="1:11">
      <c r="A46" s="9">
        <v>46086</v>
      </c>
      <c r="B46" s="1" t="s">
        <v>41</v>
      </c>
      <c r="C46" s="1" t="s">
        <v>19</v>
      </c>
      <c r="D46" s="1">
        <v>818</v>
      </c>
      <c r="E46" s="11" t="s">
        <v>47</v>
      </c>
      <c r="F46" s="1">
        <v>654</v>
      </c>
      <c r="G46" s="1">
        <v>654</v>
      </c>
      <c r="J46" s="1" t="s">
        <v>12</v>
      </c>
      <c r="K46" s="10">
        <f>SUM(G46:G59)</f>
        <v>5338</v>
      </c>
    </row>
    <row r="47" spans="1:11">
      <c r="A47" s="9">
        <v>46086</v>
      </c>
      <c r="B47" s="1" t="s">
        <v>41</v>
      </c>
      <c r="C47" s="1" t="s">
        <v>19</v>
      </c>
      <c r="D47" s="1">
        <v>858</v>
      </c>
      <c r="E47" s="11" t="s">
        <v>57</v>
      </c>
      <c r="F47" s="1">
        <v>963</v>
      </c>
      <c r="G47" s="1">
        <v>963</v>
      </c>
      <c r="J47" s="1" t="s">
        <v>12</v>
      </c>
      <c r="K47" s="10"/>
    </row>
    <row r="48" spans="1:11">
      <c r="A48" s="9">
        <v>46086</v>
      </c>
      <c r="B48" s="1" t="s">
        <v>41</v>
      </c>
      <c r="C48" s="1" t="s">
        <v>19</v>
      </c>
      <c r="D48" s="1">
        <v>851</v>
      </c>
      <c r="E48" s="11" t="s">
        <v>21</v>
      </c>
      <c r="F48" s="1">
        <v>243</v>
      </c>
      <c r="G48" s="1">
        <v>243</v>
      </c>
      <c r="J48" s="1" t="s">
        <v>12</v>
      </c>
      <c r="K48" s="10"/>
    </row>
    <row r="49" spans="1:11">
      <c r="A49" s="9">
        <v>46086</v>
      </c>
      <c r="B49" s="1" t="s">
        <v>41</v>
      </c>
      <c r="C49" s="1" t="s">
        <v>19</v>
      </c>
      <c r="D49" s="1">
        <v>896</v>
      </c>
      <c r="E49" s="11" t="s">
        <v>25</v>
      </c>
      <c r="F49" s="1">
        <v>120</v>
      </c>
      <c r="G49" s="1">
        <v>120</v>
      </c>
      <c r="J49" s="1" t="s">
        <v>12</v>
      </c>
      <c r="K49" s="10"/>
    </row>
    <row r="50" spans="1:11">
      <c r="A50" s="9">
        <v>46086</v>
      </c>
      <c r="B50" s="1" t="s">
        <v>43</v>
      </c>
      <c r="C50" s="1" t="s">
        <v>19</v>
      </c>
      <c r="D50" s="1">
        <v>857</v>
      </c>
      <c r="E50" s="11" t="s">
        <v>60</v>
      </c>
      <c r="F50" s="1">
        <v>256</v>
      </c>
      <c r="G50" s="1">
        <v>256</v>
      </c>
      <c r="J50" s="1" t="s">
        <v>12</v>
      </c>
      <c r="K50" s="10"/>
    </row>
    <row r="51" spans="1:11">
      <c r="A51" s="9">
        <v>46086</v>
      </c>
      <c r="B51" s="1" t="s">
        <v>43</v>
      </c>
      <c r="C51" s="1" t="s">
        <v>19</v>
      </c>
      <c r="D51" s="1">
        <v>613</v>
      </c>
      <c r="E51" s="11" t="s">
        <v>58</v>
      </c>
      <c r="F51" s="1">
        <v>164</v>
      </c>
      <c r="G51" s="1">
        <v>164</v>
      </c>
      <c r="J51" s="1" t="s">
        <v>12</v>
      </c>
      <c r="K51" s="10"/>
    </row>
    <row r="52" spans="1:11">
      <c r="A52" s="9">
        <v>46086</v>
      </c>
      <c r="B52" s="1" t="s">
        <v>41</v>
      </c>
      <c r="C52" s="1" t="s">
        <v>19</v>
      </c>
      <c r="D52" s="1">
        <v>850</v>
      </c>
      <c r="E52" s="11" t="s">
        <v>56</v>
      </c>
      <c r="F52" s="1">
        <v>9</v>
      </c>
      <c r="G52" s="1">
        <v>9</v>
      </c>
      <c r="J52" s="1" t="s">
        <v>12</v>
      </c>
      <c r="K52" s="10"/>
    </row>
    <row r="53" spans="1:11">
      <c r="A53" s="9">
        <v>46086</v>
      </c>
      <c r="B53" s="1" t="s">
        <v>42</v>
      </c>
      <c r="C53" s="1" t="s">
        <v>19</v>
      </c>
      <c r="D53" s="1">
        <v>807</v>
      </c>
      <c r="E53" s="11" t="s">
        <v>53</v>
      </c>
      <c r="F53" s="1">
        <v>473</v>
      </c>
      <c r="G53" s="1">
        <v>473</v>
      </c>
      <c r="J53" s="1" t="s">
        <v>12</v>
      </c>
      <c r="K53" s="10"/>
    </row>
    <row r="54" spans="1:11">
      <c r="A54" s="9">
        <v>46086</v>
      </c>
      <c r="B54" s="1" t="s">
        <v>61</v>
      </c>
      <c r="C54" s="1" t="s">
        <v>19</v>
      </c>
      <c r="D54" s="1">
        <v>813</v>
      </c>
      <c r="E54" s="11" t="s">
        <v>38</v>
      </c>
      <c r="F54" s="1">
        <v>200</v>
      </c>
      <c r="G54" s="1">
        <v>200</v>
      </c>
      <c r="J54" s="1" t="s">
        <v>12</v>
      </c>
      <c r="K54" s="10"/>
    </row>
    <row r="55" spans="1:11">
      <c r="A55" s="9">
        <v>46086</v>
      </c>
      <c r="B55" s="1" t="s">
        <v>41</v>
      </c>
      <c r="C55" s="1" t="s">
        <v>19</v>
      </c>
      <c r="D55" s="1">
        <v>820</v>
      </c>
      <c r="E55" s="11" t="s">
        <v>51</v>
      </c>
      <c r="F55" s="1">
        <v>384</v>
      </c>
      <c r="G55" s="1">
        <v>384</v>
      </c>
      <c r="J55" s="1" t="s">
        <v>12</v>
      </c>
      <c r="K55" s="10"/>
    </row>
    <row r="56" spans="1:11">
      <c r="A56" s="9">
        <v>46086</v>
      </c>
      <c r="B56" s="1" t="s">
        <v>42</v>
      </c>
      <c r="C56" s="1" t="s">
        <v>19</v>
      </c>
      <c r="D56" s="1">
        <v>9875</v>
      </c>
      <c r="E56" s="11" t="s">
        <v>62</v>
      </c>
      <c r="F56" s="1">
        <v>110</v>
      </c>
      <c r="G56" s="1">
        <v>110</v>
      </c>
      <c r="J56" s="1" t="s">
        <v>12</v>
      </c>
      <c r="K56" s="10"/>
    </row>
    <row r="57" spans="1:11">
      <c r="A57" s="9">
        <v>46086</v>
      </c>
      <c r="B57" s="1" t="s">
        <v>61</v>
      </c>
      <c r="C57" s="1" t="s">
        <v>19</v>
      </c>
      <c r="D57" s="1">
        <v>813</v>
      </c>
      <c r="E57" s="11" t="s">
        <v>38</v>
      </c>
      <c r="F57" s="1">
        <v>408</v>
      </c>
      <c r="G57" s="1">
        <v>408</v>
      </c>
      <c r="J57" s="1" t="s">
        <v>12</v>
      </c>
      <c r="K57" s="10"/>
    </row>
    <row r="58" spans="1:11">
      <c r="A58" s="9">
        <v>46086</v>
      </c>
      <c r="B58" s="1" t="s">
        <v>43</v>
      </c>
      <c r="C58" s="1" t="s">
        <v>19</v>
      </c>
      <c r="D58" s="1">
        <v>838</v>
      </c>
      <c r="E58" s="11" t="s">
        <v>63</v>
      </c>
      <c r="F58" s="1">
        <v>966</v>
      </c>
      <c r="G58" s="1">
        <v>966</v>
      </c>
      <c r="J58" s="1" t="s">
        <v>12</v>
      </c>
      <c r="K58" s="10"/>
    </row>
    <row r="59" spans="1:11">
      <c r="A59" s="9">
        <v>46086</v>
      </c>
      <c r="B59" s="1" t="s">
        <v>43</v>
      </c>
      <c r="C59" s="1" t="s">
        <v>19</v>
      </c>
      <c r="D59" s="1">
        <v>871</v>
      </c>
      <c r="E59" s="11" t="s">
        <v>64</v>
      </c>
      <c r="F59" s="1">
        <v>388</v>
      </c>
      <c r="G59" s="1">
        <v>388</v>
      </c>
      <c r="J59" s="1" t="s">
        <v>12</v>
      </c>
      <c r="K59" s="10"/>
    </row>
    <row r="60" spans="1:11">
      <c r="A60" s="9">
        <v>46087</v>
      </c>
      <c r="B60" s="1" t="s">
        <v>42</v>
      </c>
      <c r="C60" s="1" t="s">
        <v>19</v>
      </c>
      <c r="D60" s="1">
        <v>875</v>
      </c>
      <c r="E60" s="11" t="s">
        <v>52</v>
      </c>
      <c r="F60" s="1">
        <v>1032</v>
      </c>
      <c r="G60" s="1">
        <v>1032</v>
      </c>
      <c r="J60" s="1" t="s">
        <v>12</v>
      </c>
      <c r="K60" s="10">
        <f>SUM(G60:G68)</f>
        <v>3487</v>
      </c>
    </row>
    <row r="61" spans="1:11">
      <c r="A61" s="9">
        <v>46087</v>
      </c>
      <c r="B61" s="1" t="s">
        <v>42</v>
      </c>
      <c r="C61" s="1" t="s">
        <v>19</v>
      </c>
      <c r="D61" s="1">
        <v>856</v>
      </c>
      <c r="E61" s="11" t="s">
        <v>54</v>
      </c>
      <c r="F61" s="1">
        <v>80</v>
      </c>
      <c r="G61" s="1">
        <v>80</v>
      </c>
      <c r="J61" s="1" t="s">
        <v>12</v>
      </c>
      <c r="K61" s="10"/>
    </row>
    <row r="62" spans="1:11">
      <c r="A62" s="9">
        <v>46087</v>
      </c>
      <c r="B62" s="1" t="s">
        <v>42</v>
      </c>
      <c r="C62" s="1" t="s">
        <v>19</v>
      </c>
      <c r="D62" s="1">
        <v>807</v>
      </c>
      <c r="E62" s="11" t="s">
        <v>53</v>
      </c>
      <c r="F62" s="1">
        <v>80</v>
      </c>
      <c r="G62" s="1">
        <v>80</v>
      </c>
      <c r="J62" s="1" t="s">
        <v>12</v>
      </c>
      <c r="K62" s="10"/>
    </row>
    <row r="63" spans="1:11">
      <c r="A63" s="9">
        <v>46087</v>
      </c>
      <c r="B63" s="1" t="s">
        <v>41</v>
      </c>
      <c r="C63" s="1" t="s">
        <v>19</v>
      </c>
      <c r="D63" s="1">
        <v>880</v>
      </c>
      <c r="E63" s="11" t="s">
        <v>24</v>
      </c>
      <c r="F63" s="1">
        <v>452</v>
      </c>
      <c r="G63" s="1">
        <v>452</v>
      </c>
      <c r="J63" s="1" t="s">
        <v>12</v>
      </c>
      <c r="K63" s="10"/>
    </row>
    <row r="64" spans="1:11">
      <c r="A64" s="9">
        <v>46087</v>
      </c>
      <c r="B64" s="1" t="s">
        <v>41</v>
      </c>
      <c r="C64" s="1" t="s">
        <v>19</v>
      </c>
      <c r="D64" s="1">
        <v>863</v>
      </c>
      <c r="E64" s="11" t="s">
        <v>46</v>
      </c>
      <c r="F64" s="1">
        <v>171</v>
      </c>
      <c r="G64" s="1">
        <v>171</v>
      </c>
      <c r="J64" s="1" t="s">
        <v>12</v>
      </c>
      <c r="K64" s="10"/>
    </row>
    <row r="65" spans="1:11">
      <c r="A65" s="9">
        <v>46087</v>
      </c>
      <c r="B65" s="1" t="s">
        <v>41</v>
      </c>
      <c r="C65" s="1" t="s">
        <v>19</v>
      </c>
      <c r="D65" s="1">
        <v>867</v>
      </c>
      <c r="E65" s="11" t="s">
        <v>65</v>
      </c>
      <c r="F65" s="1">
        <v>488</v>
      </c>
      <c r="G65" s="1">
        <v>488</v>
      </c>
      <c r="J65" s="1" t="s">
        <v>12</v>
      </c>
      <c r="K65" s="10"/>
    </row>
    <row r="66" spans="1:11">
      <c r="A66" s="9">
        <v>46087</v>
      </c>
      <c r="B66" s="1" t="s">
        <v>41</v>
      </c>
      <c r="C66" s="1" t="s">
        <v>19</v>
      </c>
      <c r="D66" s="1">
        <v>866</v>
      </c>
      <c r="E66" s="11" t="s">
        <v>23</v>
      </c>
      <c r="F66" s="1">
        <v>288</v>
      </c>
      <c r="G66" s="1">
        <v>288</v>
      </c>
      <c r="J66" s="1" t="s">
        <v>12</v>
      </c>
      <c r="K66" s="10"/>
    </row>
    <row r="67" spans="1:11">
      <c r="A67" s="9">
        <v>46087</v>
      </c>
      <c r="B67" s="1" t="s">
        <v>42</v>
      </c>
      <c r="C67" s="1" t="s">
        <v>19</v>
      </c>
      <c r="D67" s="1">
        <v>856</v>
      </c>
      <c r="E67" s="11" t="s">
        <v>54</v>
      </c>
      <c r="F67" s="1">
        <v>588</v>
      </c>
      <c r="G67" s="1">
        <v>588</v>
      </c>
      <c r="J67" s="1" t="s">
        <v>12</v>
      </c>
      <c r="K67" s="10"/>
    </row>
    <row r="68" spans="1:11">
      <c r="A68" s="9">
        <v>46087</v>
      </c>
      <c r="B68" s="1" t="s">
        <v>42</v>
      </c>
      <c r="C68" s="1" t="s">
        <v>19</v>
      </c>
      <c r="D68" s="1">
        <v>807</v>
      </c>
      <c r="E68" s="11" t="s">
        <v>53</v>
      </c>
      <c r="F68" s="1">
        <v>308</v>
      </c>
      <c r="G68" s="1">
        <v>308</v>
      </c>
      <c r="J68" s="1" t="s">
        <v>12</v>
      </c>
      <c r="K68" s="10"/>
    </row>
    <row r="69" spans="1:11">
      <c r="A69" s="9">
        <v>46088</v>
      </c>
      <c r="B69" s="1" t="s">
        <v>41</v>
      </c>
      <c r="C69" s="1" t="s">
        <v>19</v>
      </c>
      <c r="D69" s="1">
        <v>827</v>
      </c>
      <c r="E69" s="11" t="s">
        <v>66</v>
      </c>
      <c r="F69" s="1">
        <v>1008</v>
      </c>
      <c r="G69" s="1">
        <v>1008</v>
      </c>
      <c r="J69" s="1" t="s">
        <v>12</v>
      </c>
      <c r="K69" s="10">
        <f>SUM(G69:G80)</f>
        <v>6647</v>
      </c>
    </row>
    <row r="70" spans="1:11">
      <c r="A70" s="9">
        <v>46088</v>
      </c>
      <c r="B70" s="1" t="s">
        <v>42</v>
      </c>
      <c r="C70" s="1" t="s">
        <v>19</v>
      </c>
      <c r="D70" s="1">
        <v>856</v>
      </c>
      <c r="E70" s="11" t="s">
        <v>54</v>
      </c>
      <c r="F70" s="1">
        <v>740</v>
      </c>
      <c r="G70" s="1">
        <v>740</v>
      </c>
      <c r="J70" s="1" t="s">
        <v>12</v>
      </c>
      <c r="K70" s="10"/>
    </row>
    <row r="71" spans="1:11">
      <c r="A71" s="9">
        <v>46088</v>
      </c>
      <c r="B71" s="1" t="s">
        <v>42</v>
      </c>
      <c r="C71" s="1" t="s">
        <v>19</v>
      </c>
      <c r="D71" s="1">
        <v>807</v>
      </c>
      <c r="E71" s="11" t="s">
        <v>53</v>
      </c>
      <c r="F71" s="1">
        <v>412</v>
      </c>
      <c r="G71" s="1">
        <v>412</v>
      </c>
      <c r="J71" s="1" t="s">
        <v>12</v>
      </c>
      <c r="K71" s="10"/>
    </row>
    <row r="72" spans="1:11">
      <c r="A72" s="9">
        <v>46088</v>
      </c>
      <c r="B72" s="1" t="s">
        <v>43</v>
      </c>
      <c r="C72" s="1" t="s">
        <v>19</v>
      </c>
      <c r="D72" s="1">
        <v>613</v>
      </c>
      <c r="E72" s="11" t="s">
        <v>58</v>
      </c>
      <c r="F72" s="1">
        <v>204</v>
      </c>
      <c r="G72" s="1">
        <v>204</v>
      </c>
      <c r="J72" s="1" t="s">
        <v>12</v>
      </c>
      <c r="K72" s="10"/>
    </row>
    <row r="73" spans="1:11">
      <c r="A73" s="9">
        <v>46088</v>
      </c>
      <c r="B73" s="1" t="s">
        <v>41</v>
      </c>
      <c r="C73" s="1" t="s">
        <v>19</v>
      </c>
      <c r="D73" s="1">
        <v>859</v>
      </c>
      <c r="E73" s="11" t="s">
        <v>20</v>
      </c>
      <c r="F73" s="1">
        <v>450</v>
      </c>
      <c r="G73" s="1">
        <v>450</v>
      </c>
      <c r="J73" s="1" t="s">
        <v>12</v>
      </c>
      <c r="K73" s="10"/>
    </row>
    <row r="74" spans="1:11">
      <c r="A74" s="9">
        <v>46088</v>
      </c>
      <c r="B74" s="1" t="s">
        <v>41</v>
      </c>
      <c r="C74" s="1" t="s">
        <v>19</v>
      </c>
      <c r="D74" s="1">
        <v>880</v>
      </c>
      <c r="E74" s="11" t="s">
        <v>24</v>
      </c>
      <c r="F74" s="1">
        <v>291</v>
      </c>
      <c r="G74" s="1">
        <v>291</v>
      </c>
      <c r="J74" s="1" t="s">
        <v>12</v>
      </c>
      <c r="K74" s="10"/>
    </row>
    <row r="75" spans="1:11">
      <c r="A75" s="9">
        <v>46088</v>
      </c>
      <c r="B75" s="1" t="s">
        <v>41</v>
      </c>
      <c r="C75" s="1" t="s">
        <v>19</v>
      </c>
      <c r="D75" s="1">
        <v>609</v>
      </c>
      <c r="E75" s="11" t="s">
        <v>55</v>
      </c>
      <c r="F75" s="1">
        <v>276</v>
      </c>
      <c r="G75" s="1">
        <v>276</v>
      </c>
      <c r="J75" s="1" t="s">
        <v>12</v>
      </c>
      <c r="K75" s="10"/>
    </row>
    <row r="76" spans="1:11">
      <c r="A76" s="9">
        <v>46088</v>
      </c>
      <c r="B76" s="1" t="s">
        <v>41</v>
      </c>
      <c r="C76" s="1" t="s">
        <v>19</v>
      </c>
      <c r="D76" s="1">
        <v>858</v>
      </c>
      <c r="E76" s="11" t="s">
        <v>57</v>
      </c>
      <c r="F76" s="1">
        <v>1280</v>
      </c>
      <c r="G76" s="1">
        <v>1280</v>
      </c>
      <c r="J76" s="1" t="s">
        <v>12</v>
      </c>
      <c r="K76" s="10"/>
    </row>
    <row r="77" spans="1:11">
      <c r="A77" s="9">
        <v>46088</v>
      </c>
      <c r="B77" s="1" t="s">
        <v>42</v>
      </c>
      <c r="C77" s="1" t="s">
        <v>19</v>
      </c>
      <c r="D77" s="1">
        <v>9875</v>
      </c>
      <c r="E77" s="11" t="s">
        <v>62</v>
      </c>
      <c r="F77" s="1">
        <v>52</v>
      </c>
      <c r="G77" s="1">
        <v>52</v>
      </c>
      <c r="J77" s="1" t="s">
        <v>12</v>
      </c>
      <c r="K77" s="10"/>
    </row>
    <row r="78" spans="1:11">
      <c r="A78" s="9">
        <v>46088</v>
      </c>
      <c r="B78" s="1" t="s">
        <v>42</v>
      </c>
      <c r="C78" s="1" t="s">
        <v>19</v>
      </c>
      <c r="D78" s="1">
        <v>875</v>
      </c>
      <c r="E78" s="11" t="s">
        <v>52</v>
      </c>
      <c r="F78" s="1">
        <v>416</v>
      </c>
      <c r="G78" s="1">
        <v>416</v>
      </c>
      <c r="J78" s="1" t="s">
        <v>12</v>
      </c>
      <c r="K78" s="10"/>
    </row>
    <row r="79" spans="1:11">
      <c r="A79" s="9">
        <v>46088</v>
      </c>
      <c r="B79" s="1" t="s">
        <v>42</v>
      </c>
      <c r="C79" s="1" t="s">
        <v>19</v>
      </c>
      <c r="D79" s="1">
        <v>855</v>
      </c>
      <c r="E79" s="11" t="s">
        <v>67</v>
      </c>
      <c r="F79" s="1">
        <v>222</v>
      </c>
      <c r="G79" s="1">
        <v>222</v>
      </c>
      <c r="J79" s="1" t="s">
        <v>12</v>
      </c>
      <c r="K79" s="10"/>
    </row>
    <row r="80" spans="1:11">
      <c r="A80" s="9">
        <v>46088</v>
      </c>
      <c r="B80" s="1" t="s">
        <v>41</v>
      </c>
      <c r="C80" s="1" t="s">
        <v>19</v>
      </c>
      <c r="D80" s="1">
        <v>865</v>
      </c>
      <c r="E80" s="11" t="s">
        <v>22</v>
      </c>
      <c r="F80" s="1">
        <v>1296</v>
      </c>
      <c r="G80" s="1">
        <v>1296</v>
      </c>
      <c r="J80" s="1" t="s">
        <v>12</v>
      </c>
      <c r="K80" s="10"/>
    </row>
    <row r="81" spans="1:11">
      <c r="A81" s="9">
        <v>46089</v>
      </c>
      <c r="B81" s="1" t="s">
        <v>41</v>
      </c>
      <c r="C81" s="1" t="s">
        <v>19</v>
      </c>
      <c r="D81" s="1">
        <v>859</v>
      </c>
      <c r="E81" s="11" t="s">
        <v>20</v>
      </c>
      <c r="F81" s="1">
        <v>576</v>
      </c>
      <c r="G81" s="1">
        <v>576</v>
      </c>
      <c r="J81" s="1" t="s">
        <v>12</v>
      </c>
      <c r="K81" s="10">
        <f>SUM(G81:G93,G97)</f>
        <v>4093</v>
      </c>
    </row>
    <row r="82" spans="1:11">
      <c r="A82" s="9">
        <v>46089</v>
      </c>
      <c r="B82" s="1" t="s">
        <v>41</v>
      </c>
      <c r="C82" s="1" t="s">
        <v>19</v>
      </c>
      <c r="D82" s="1">
        <v>853</v>
      </c>
      <c r="E82" s="11" t="s">
        <v>49</v>
      </c>
      <c r="F82" s="1">
        <v>96</v>
      </c>
      <c r="G82" s="1">
        <v>96</v>
      </c>
      <c r="J82" s="1" t="s">
        <v>12</v>
      </c>
      <c r="K82" s="10"/>
    </row>
    <row r="83" spans="1:11">
      <c r="A83" s="9">
        <v>46089</v>
      </c>
      <c r="B83" s="1" t="s">
        <v>41</v>
      </c>
      <c r="C83" s="1" t="s">
        <v>19</v>
      </c>
      <c r="D83" s="1">
        <v>863</v>
      </c>
      <c r="E83" s="11" t="s">
        <v>46</v>
      </c>
      <c r="F83" s="1">
        <v>108</v>
      </c>
      <c r="G83" s="1">
        <v>108</v>
      </c>
      <c r="J83" s="1" t="s">
        <v>12</v>
      </c>
      <c r="K83" s="10"/>
    </row>
    <row r="84" spans="1:11">
      <c r="A84" s="9">
        <v>46089</v>
      </c>
      <c r="B84" s="1" t="s">
        <v>41</v>
      </c>
      <c r="C84" s="1" t="s">
        <v>19</v>
      </c>
      <c r="D84" s="1">
        <v>861</v>
      </c>
      <c r="E84" s="11" t="s">
        <v>45</v>
      </c>
      <c r="F84" s="1">
        <v>108</v>
      </c>
      <c r="G84" s="1">
        <v>108</v>
      </c>
      <c r="J84" s="1" t="s">
        <v>12</v>
      </c>
      <c r="K84" s="10"/>
    </row>
    <row r="85" spans="1:11">
      <c r="A85" s="9">
        <v>46089</v>
      </c>
      <c r="B85" s="1" t="s">
        <v>41</v>
      </c>
      <c r="C85" s="1" t="s">
        <v>19</v>
      </c>
      <c r="D85" s="1">
        <v>817</v>
      </c>
      <c r="E85" s="11" t="s">
        <v>48</v>
      </c>
      <c r="F85" s="1">
        <v>704</v>
      </c>
      <c r="G85" s="1">
        <v>704</v>
      </c>
      <c r="J85" s="1" t="s">
        <v>12</v>
      </c>
      <c r="K85" s="10"/>
    </row>
    <row r="86" spans="1:11">
      <c r="A86" s="9">
        <v>46089</v>
      </c>
      <c r="B86" s="1" t="s">
        <v>41</v>
      </c>
      <c r="C86" s="1" t="s">
        <v>19</v>
      </c>
      <c r="D86" s="1">
        <v>818</v>
      </c>
      <c r="E86" s="11" t="s">
        <v>47</v>
      </c>
      <c r="F86" s="1">
        <v>96</v>
      </c>
      <c r="G86" s="1">
        <v>96</v>
      </c>
      <c r="J86" s="1" t="s">
        <v>12</v>
      </c>
      <c r="K86" s="10"/>
    </row>
    <row r="87" spans="1:11">
      <c r="A87" s="9">
        <v>46089</v>
      </c>
      <c r="B87" s="1" t="s">
        <v>41</v>
      </c>
      <c r="C87" s="1" t="s">
        <v>19</v>
      </c>
      <c r="D87" s="1">
        <v>9810</v>
      </c>
      <c r="E87" s="11" t="s">
        <v>68</v>
      </c>
      <c r="F87" s="1">
        <v>6</v>
      </c>
      <c r="G87" s="1">
        <v>6</v>
      </c>
      <c r="J87" s="1" t="s">
        <v>12</v>
      </c>
      <c r="K87" s="10"/>
    </row>
    <row r="88" spans="1:11">
      <c r="A88" s="9">
        <v>46089</v>
      </c>
      <c r="B88" s="1" t="s">
        <v>41</v>
      </c>
      <c r="C88" s="1" t="s">
        <v>19</v>
      </c>
      <c r="D88" s="1">
        <v>880</v>
      </c>
      <c r="E88" s="11" t="s">
        <v>24</v>
      </c>
      <c r="F88" s="1">
        <v>315</v>
      </c>
      <c r="G88" s="1">
        <v>315</v>
      </c>
      <c r="J88" s="1" t="s">
        <v>12</v>
      </c>
      <c r="K88" s="10"/>
    </row>
    <row r="89" spans="1:11">
      <c r="A89" s="9">
        <v>46089</v>
      </c>
      <c r="B89" s="1" t="s">
        <v>41</v>
      </c>
      <c r="C89" s="1" t="s">
        <v>19</v>
      </c>
      <c r="D89" s="1">
        <v>850</v>
      </c>
      <c r="E89" s="11" t="s">
        <v>56</v>
      </c>
      <c r="F89" s="1">
        <v>258</v>
      </c>
      <c r="G89" s="1">
        <v>258</v>
      </c>
      <c r="J89" s="1" t="s">
        <v>12</v>
      </c>
      <c r="K89" s="10"/>
    </row>
    <row r="90" spans="1:11">
      <c r="A90" s="9">
        <v>46089</v>
      </c>
      <c r="B90" s="1" t="s">
        <v>41</v>
      </c>
      <c r="C90" s="1" t="s">
        <v>19</v>
      </c>
      <c r="D90" s="1">
        <v>609</v>
      </c>
      <c r="E90" s="11" t="s">
        <v>55</v>
      </c>
      <c r="F90" s="1">
        <v>12</v>
      </c>
      <c r="G90" s="1">
        <v>12</v>
      </c>
      <c r="J90" s="1" t="s">
        <v>12</v>
      </c>
      <c r="K90" s="10"/>
    </row>
    <row r="91" spans="1:11">
      <c r="A91" s="9">
        <v>46089</v>
      </c>
      <c r="B91" s="1" t="s">
        <v>41</v>
      </c>
      <c r="C91" s="1" t="s">
        <v>19</v>
      </c>
      <c r="D91" s="1">
        <v>858</v>
      </c>
      <c r="E91" s="11" t="s">
        <v>57</v>
      </c>
      <c r="F91" s="1">
        <v>900</v>
      </c>
      <c r="G91" s="1">
        <v>900</v>
      </c>
      <c r="J91" s="1" t="s">
        <v>12</v>
      </c>
      <c r="K91" s="10"/>
    </row>
    <row r="92" spans="1:11">
      <c r="A92" s="9">
        <v>46089</v>
      </c>
      <c r="B92" s="1" t="s">
        <v>42</v>
      </c>
      <c r="C92" s="1" t="s">
        <v>19</v>
      </c>
      <c r="D92" s="1">
        <v>856</v>
      </c>
      <c r="E92" s="11" t="s">
        <v>54</v>
      </c>
      <c r="F92" s="1">
        <v>816</v>
      </c>
      <c r="G92" s="1">
        <v>816</v>
      </c>
      <c r="J92" s="1" t="s">
        <v>12</v>
      </c>
      <c r="K92" s="10"/>
    </row>
    <row r="93" spans="1:11">
      <c r="A93" s="9">
        <v>46089</v>
      </c>
      <c r="B93" s="1" t="s">
        <v>42</v>
      </c>
      <c r="C93" s="1" t="s">
        <v>19</v>
      </c>
      <c r="D93" s="1">
        <v>9875</v>
      </c>
      <c r="E93" s="11" t="s">
        <v>62</v>
      </c>
      <c r="F93" s="1">
        <v>8</v>
      </c>
      <c r="G93" s="1">
        <v>8</v>
      </c>
      <c r="J93" s="1" t="s">
        <v>12</v>
      </c>
      <c r="K93" s="10"/>
    </row>
    <row r="94" spans="1:11">
      <c r="A94" s="9">
        <v>46089</v>
      </c>
      <c r="B94" s="1" t="s">
        <v>42</v>
      </c>
      <c r="C94" s="1" t="s">
        <v>19</v>
      </c>
      <c r="D94" s="1">
        <v>875</v>
      </c>
      <c r="E94" s="11" t="s">
        <v>52</v>
      </c>
      <c r="F94" s="1">
        <v>942</v>
      </c>
      <c r="G94" s="1">
        <v>942</v>
      </c>
      <c r="J94" s="1" t="s">
        <v>12</v>
      </c>
      <c r="K94" s="10"/>
    </row>
    <row r="95" spans="1:11">
      <c r="A95" s="9">
        <v>46089</v>
      </c>
      <c r="B95" s="1" t="s">
        <v>43</v>
      </c>
      <c r="C95" s="1" t="s">
        <v>19</v>
      </c>
      <c r="D95" s="1">
        <v>838</v>
      </c>
      <c r="E95" s="11" t="s">
        <v>63</v>
      </c>
      <c r="F95" s="1">
        <v>1314</v>
      </c>
      <c r="G95" s="1">
        <v>1314</v>
      </c>
      <c r="J95" s="1" t="s">
        <v>12</v>
      </c>
      <c r="K95" s="10"/>
    </row>
    <row r="96" spans="1:11">
      <c r="A96" s="9">
        <v>46089</v>
      </c>
      <c r="B96" s="1" t="s">
        <v>43</v>
      </c>
      <c r="C96" s="1" t="s">
        <v>19</v>
      </c>
      <c r="D96" s="1">
        <v>809</v>
      </c>
      <c r="E96" s="11" t="s">
        <v>36</v>
      </c>
      <c r="F96" s="1">
        <v>522</v>
      </c>
      <c r="G96" s="1">
        <v>522</v>
      </c>
      <c r="J96" s="1" t="s">
        <v>12</v>
      </c>
      <c r="K96" s="10"/>
    </row>
    <row r="97" spans="1:11">
      <c r="A97" s="9">
        <v>46089</v>
      </c>
      <c r="B97" s="1" t="s">
        <v>43</v>
      </c>
      <c r="C97" s="1" t="s">
        <v>19</v>
      </c>
      <c r="D97" s="1">
        <v>835</v>
      </c>
      <c r="E97" s="11" t="s">
        <v>37</v>
      </c>
      <c r="F97" s="1">
        <v>90</v>
      </c>
      <c r="G97" s="1">
        <v>90</v>
      </c>
      <c r="J97" s="1" t="s">
        <v>12</v>
      </c>
      <c r="K97" s="10"/>
    </row>
    <row r="98" spans="1:11">
      <c r="A98" s="9">
        <v>46090</v>
      </c>
      <c r="B98" s="1" t="s">
        <v>41</v>
      </c>
      <c r="C98" s="1" t="s">
        <v>19</v>
      </c>
      <c r="D98" s="1">
        <v>827</v>
      </c>
      <c r="E98" s="11" t="s">
        <v>66</v>
      </c>
      <c r="F98" s="1">
        <v>500</v>
      </c>
      <c r="G98" s="1">
        <v>500</v>
      </c>
      <c r="J98" s="1" t="s">
        <v>12</v>
      </c>
      <c r="K98" s="10">
        <f>SUM(G100,G103:G106)</f>
        <v>1614</v>
      </c>
    </row>
    <row r="99" spans="1:11">
      <c r="A99" s="9">
        <v>46090</v>
      </c>
      <c r="B99" s="1" t="s">
        <v>41</v>
      </c>
      <c r="C99" s="1" t="s">
        <v>19</v>
      </c>
      <c r="D99" s="1">
        <v>818</v>
      </c>
      <c r="E99" s="11" t="s">
        <v>47</v>
      </c>
      <c r="F99" s="1">
        <v>940</v>
      </c>
      <c r="G99" s="1">
        <v>940</v>
      </c>
      <c r="J99" s="1" t="s">
        <v>12</v>
      </c>
      <c r="K99" s="10"/>
    </row>
    <row r="100" spans="1:11">
      <c r="A100" s="9">
        <v>46090</v>
      </c>
      <c r="B100" s="1" t="s">
        <v>41</v>
      </c>
      <c r="C100" s="1" t="s">
        <v>19</v>
      </c>
      <c r="D100" s="1">
        <v>817</v>
      </c>
      <c r="E100" s="11" t="s">
        <v>48</v>
      </c>
      <c r="F100" s="1">
        <v>452</v>
      </c>
      <c r="G100" s="1">
        <v>452</v>
      </c>
      <c r="J100" s="1" t="s">
        <v>12</v>
      </c>
      <c r="K100" s="10"/>
    </row>
    <row r="101" spans="1:11">
      <c r="A101" s="9">
        <v>46090</v>
      </c>
      <c r="B101" s="1" t="s">
        <v>41</v>
      </c>
      <c r="C101" s="1" t="s">
        <v>19</v>
      </c>
      <c r="D101" s="1">
        <v>861</v>
      </c>
      <c r="E101" s="11" t="s">
        <v>45</v>
      </c>
      <c r="F101" s="1">
        <v>1168</v>
      </c>
      <c r="G101" s="1">
        <v>1168</v>
      </c>
      <c r="J101" s="1" t="s">
        <v>12</v>
      </c>
      <c r="K101" s="10"/>
    </row>
    <row r="102" spans="1:11">
      <c r="A102" s="9">
        <v>46090</v>
      </c>
      <c r="B102" s="1" t="s">
        <v>41</v>
      </c>
      <c r="C102" s="1" t="s">
        <v>19</v>
      </c>
      <c r="D102" s="1">
        <v>859</v>
      </c>
      <c r="E102" s="11" t="s">
        <v>20</v>
      </c>
      <c r="F102" s="1">
        <v>634</v>
      </c>
      <c r="G102" s="1">
        <v>634</v>
      </c>
      <c r="J102" s="1" t="s">
        <v>12</v>
      </c>
      <c r="K102" s="10"/>
    </row>
    <row r="103" spans="1:11">
      <c r="A103" s="9">
        <v>46090</v>
      </c>
      <c r="B103" s="1" t="s">
        <v>41</v>
      </c>
      <c r="C103" s="1" t="s">
        <v>19</v>
      </c>
      <c r="D103" s="1">
        <v>880</v>
      </c>
      <c r="E103" s="11" t="s">
        <v>24</v>
      </c>
      <c r="F103" s="1">
        <v>273</v>
      </c>
      <c r="G103" s="1">
        <v>273</v>
      </c>
      <c r="J103" s="1" t="s">
        <v>12</v>
      </c>
      <c r="K103" s="10"/>
    </row>
    <row r="104" spans="1:11">
      <c r="A104" s="9">
        <v>46090</v>
      </c>
      <c r="B104" s="1" t="s">
        <v>41</v>
      </c>
      <c r="C104" s="1" t="s">
        <v>19</v>
      </c>
      <c r="D104" s="1">
        <v>609</v>
      </c>
      <c r="E104" s="11" t="s">
        <v>55</v>
      </c>
      <c r="F104" s="1">
        <v>249</v>
      </c>
      <c r="G104" s="1">
        <v>249</v>
      </c>
      <c r="J104" s="1" t="s">
        <v>12</v>
      </c>
      <c r="K104" s="10"/>
    </row>
    <row r="105" spans="1:11">
      <c r="A105" s="9">
        <v>46090</v>
      </c>
      <c r="B105" s="1" t="s">
        <v>42</v>
      </c>
      <c r="C105" s="1" t="s">
        <v>19</v>
      </c>
      <c r="D105" s="1">
        <v>807</v>
      </c>
      <c r="E105" s="11" t="s">
        <v>53</v>
      </c>
      <c r="F105" s="1">
        <v>320</v>
      </c>
      <c r="G105" s="1">
        <v>320</v>
      </c>
      <c r="J105" s="1" t="s">
        <v>12</v>
      </c>
      <c r="K105" s="10"/>
    </row>
    <row r="106" spans="1:11">
      <c r="A106" s="9">
        <v>46090</v>
      </c>
      <c r="B106" s="1" t="s">
        <v>42</v>
      </c>
      <c r="C106" s="1" t="s">
        <v>19</v>
      </c>
      <c r="D106" s="1">
        <v>856</v>
      </c>
      <c r="E106" s="11" t="s">
        <v>54</v>
      </c>
      <c r="F106" s="1">
        <v>320</v>
      </c>
      <c r="G106" s="1">
        <v>320</v>
      </c>
      <c r="J106" s="1" t="s">
        <v>12</v>
      </c>
      <c r="K106" s="10"/>
    </row>
    <row r="107" spans="1:11">
      <c r="A107" s="9">
        <v>46090</v>
      </c>
      <c r="B107" s="1" t="s">
        <v>41</v>
      </c>
      <c r="C107" s="1" t="s">
        <v>19</v>
      </c>
      <c r="D107" s="1">
        <v>865</v>
      </c>
      <c r="E107" s="11" t="s">
        <v>22</v>
      </c>
      <c r="F107" s="1">
        <v>1650</v>
      </c>
      <c r="G107" s="1">
        <v>1650</v>
      </c>
      <c r="J107" s="1" t="s">
        <v>12</v>
      </c>
      <c r="K107" s="10"/>
    </row>
    <row r="108" spans="1:11">
      <c r="A108" s="9">
        <v>46091</v>
      </c>
      <c r="B108" s="1" t="s">
        <v>41</v>
      </c>
      <c r="C108" s="1" t="s">
        <v>19</v>
      </c>
      <c r="D108" s="1">
        <v>820</v>
      </c>
      <c r="E108" s="11" t="s">
        <v>51</v>
      </c>
      <c r="F108" s="1">
        <v>624</v>
      </c>
      <c r="G108" s="1">
        <v>624</v>
      </c>
      <c r="J108" s="1" t="s">
        <v>12</v>
      </c>
      <c r="K108" s="10">
        <f>SUM(G108:G114,G116,G121)</f>
        <v>2931</v>
      </c>
    </row>
    <row r="109" spans="1:11">
      <c r="A109" s="9">
        <v>46091</v>
      </c>
      <c r="B109" s="1" t="s">
        <v>41</v>
      </c>
      <c r="C109" s="1" t="s">
        <v>19</v>
      </c>
      <c r="D109" s="1">
        <v>863</v>
      </c>
      <c r="E109" s="11" t="s">
        <v>46</v>
      </c>
      <c r="F109" s="1">
        <v>231</v>
      </c>
      <c r="G109" s="1">
        <v>231</v>
      </c>
      <c r="J109" s="1" t="s">
        <v>12</v>
      </c>
      <c r="K109" s="10"/>
    </row>
    <row r="110" spans="1:11">
      <c r="A110" s="9">
        <v>46091</v>
      </c>
      <c r="B110" s="1" t="s">
        <v>43</v>
      </c>
      <c r="C110" s="1" t="s">
        <v>19</v>
      </c>
      <c r="D110" s="1">
        <v>835</v>
      </c>
      <c r="E110" s="11" t="s">
        <v>37</v>
      </c>
      <c r="F110" s="1">
        <v>480</v>
      </c>
      <c r="G110" s="1">
        <v>480</v>
      </c>
      <c r="J110" s="1" t="s">
        <v>12</v>
      </c>
      <c r="K110" s="10"/>
    </row>
    <row r="111" spans="1:11">
      <c r="A111" s="9">
        <v>46091</v>
      </c>
      <c r="B111" s="1" t="s">
        <v>43</v>
      </c>
      <c r="C111" s="1" t="s">
        <v>19</v>
      </c>
      <c r="D111" s="1">
        <v>809</v>
      </c>
      <c r="E111" s="11" t="s">
        <v>36</v>
      </c>
      <c r="F111" s="1">
        <v>132</v>
      </c>
      <c r="G111" s="1">
        <v>132</v>
      </c>
      <c r="J111" s="1" t="s">
        <v>12</v>
      </c>
      <c r="K111" s="10"/>
    </row>
    <row r="112" spans="1:11">
      <c r="A112" s="9">
        <v>46091</v>
      </c>
      <c r="B112" s="1" t="s">
        <v>43</v>
      </c>
      <c r="C112" s="1" t="s">
        <v>19</v>
      </c>
      <c r="D112" s="1">
        <v>838</v>
      </c>
      <c r="E112" s="11" t="s">
        <v>63</v>
      </c>
      <c r="F112" s="1">
        <v>105</v>
      </c>
      <c r="G112" s="1">
        <v>105</v>
      </c>
      <c r="J112" s="1" t="s">
        <v>12</v>
      </c>
      <c r="K112" s="10"/>
    </row>
    <row r="113" spans="1:11">
      <c r="A113" s="9">
        <v>46091</v>
      </c>
      <c r="B113" s="1" t="s">
        <v>43</v>
      </c>
      <c r="C113" s="1" t="s">
        <v>19</v>
      </c>
      <c r="D113" s="1">
        <v>885</v>
      </c>
      <c r="E113" s="11" t="s">
        <v>59</v>
      </c>
      <c r="F113" s="1">
        <v>111</v>
      </c>
      <c r="G113" s="1">
        <v>111</v>
      </c>
      <c r="J113" s="1" t="s">
        <v>12</v>
      </c>
      <c r="K113" s="10"/>
    </row>
    <row r="114" spans="1:11">
      <c r="A114" s="9">
        <v>46091</v>
      </c>
      <c r="B114" s="1" t="s">
        <v>42</v>
      </c>
      <c r="C114" s="1" t="s">
        <v>19</v>
      </c>
      <c r="D114" s="1">
        <v>875</v>
      </c>
      <c r="E114" s="11" t="s">
        <v>52</v>
      </c>
      <c r="F114" s="1">
        <v>392</v>
      </c>
      <c r="G114" s="1">
        <v>392</v>
      </c>
      <c r="J114" s="1" t="s">
        <v>12</v>
      </c>
      <c r="K114" s="10"/>
    </row>
    <row r="115" spans="1:11">
      <c r="A115" s="9">
        <v>46091</v>
      </c>
      <c r="B115" s="1" t="s">
        <v>41</v>
      </c>
      <c r="C115" s="1" t="s">
        <v>19</v>
      </c>
      <c r="D115" s="1">
        <v>860</v>
      </c>
      <c r="E115" s="11" t="s">
        <v>44</v>
      </c>
      <c r="F115" s="1">
        <v>1144</v>
      </c>
      <c r="G115" s="1">
        <v>1144</v>
      </c>
      <c r="J115" s="1" t="s">
        <v>12</v>
      </c>
      <c r="K115" s="10"/>
    </row>
    <row r="116" spans="1:11">
      <c r="A116" s="9">
        <v>46091</v>
      </c>
      <c r="B116" s="1" t="s">
        <v>41</v>
      </c>
      <c r="C116" s="1" t="s">
        <v>19</v>
      </c>
      <c r="D116" s="1">
        <v>609</v>
      </c>
      <c r="E116" s="11" t="s">
        <v>55</v>
      </c>
      <c r="F116" s="1">
        <v>340</v>
      </c>
      <c r="G116" s="1">
        <v>340</v>
      </c>
      <c r="J116" s="1" t="s">
        <v>12</v>
      </c>
      <c r="K116" s="10"/>
    </row>
    <row r="117" spans="1:11">
      <c r="A117" s="9">
        <v>46091</v>
      </c>
      <c r="B117" s="1" t="s">
        <v>41</v>
      </c>
      <c r="C117" s="1" t="s">
        <v>19</v>
      </c>
      <c r="D117" s="1">
        <v>817</v>
      </c>
      <c r="E117" s="11" t="s">
        <v>48</v>
      </c>
      <c r="F117" s="1">
        <v>1536</v>
      </c>
      <c r="G117" s="1">
        <v>1536</v>
      </c>
      <c r="J117" s="1" t="s">
        <v>12</v>
      </c>
      <c r="K117" s="10"/>
    </row>
    <row r="118" spans="1:11">
      <c r="A118" s="9">
        <v>46091</v>
      </c>
      <c r="B118" s="1" t="s">
        <v>41</v>
      </c>
      <c r="C118" s="1" t="s">
        <v>19</v>
      </c>
      <c r="D118" s="1">
        <v>818</v>
      </c>
      <c r="E118" s="11" t="s">
        <v>47</v>
      </c>
      <c r="F118" s="1">
        <v>714</v>
      </c>
      <c r="G118" s="1">
        <v>714</v>
      </c>
      <c r="J118" s="1" t="s">
        <v>12</v>
      </c>
      <c r="K118" s="10"/>
    </row>
    <row r="119" spans="1:11">
      <c r="A119" s="9">
        <v>46091</v>
      </c>
      <c r="B119" s="1" t="s">
        <v>42</v>
      </c>
      <c r="C119" s="1" t="s">
        <v>19</v>
      </c>
      <c r="D119" s="1">
        <v>875</v>
      </c>
      <c r="E119" s="11" t="s">
        <v>52</v>
      </c>
      <c r="F119" s="1">
        <v>440</v>
      </c>
      <c r="G119" s="1">
        <v>440</v>
      </c>
      <c r="J119" s="1" t="s">
        <v>12</v>
      </c>
      <c r="K119" s="10"/>
    </row>
    <row r="120" spans="1:11">
      <c r="A120" s="9">
        <v>46091</v>
      </c>
      <c r="B120" s="1" t="s">
        <v>42</v>
      </c>
      <c r="C120" s="1" t="s">
        <v>19</v>
      </c>
      <c r="D120" s="1">
        <v>856</v>
      </c>
      <c r="E120" s="11" t="s">
        <v>54</v>
      </c>
      <c r="F120" s="1">
        <v>496</v>
      </c>
      <c r="G120" s="1">
        <v>496</v>
      </c>
      <c r="J120" s="1" t="s">
        <v>12</v>
      </c>
      <c r="K120" s="10"/>
    </row>
    <row r="121" spans="1:11">
      <c r="A121" s="9">
        <v>46091</v>
      </c>
      <c r="B121" s="1" t="s">
        <v>69</v>
      </c>
      <c r="C121" s="1" t="s">
        <v>70</v>
      </c>
      <c r="D121" s="1">
        <v>9635</v>
      </c>
      <c r="E121" s="11" t="s">
        <v>71</v>
      </c>
      <c r="F121" s="1">
        <v>516</v>
      </c>
      <c r="G121" s="1">
        <v>516</v>
      </c>
      <c r="J121" s="1" t="s">
        <v>12</v>
      </c>
      <c r="K121" s="10"/>
    </row>
    <row r="122" spans="1:11">
      <c r="A122" s="9">
        <v>46092</v>
      </c>
      <c r="B122" s="1" t="s">
        <v>41</v>
      </c>
      <c r="C122" s="1" t="s">
        <v>19</v>
      </c>
      <c r="D122" s="1">
        <v>820</v>
      </c>
      <c r="E122" s="11" t="s">
        <v>51</v>
      </c>
      <c r="F122" s="1">
        <v>744</v>
      </c>
      <c r="G122" s="1">
        <v>744</v>
      </c>
      <c r="J122" s="1" t="s">
        <v>12</v>
      </c>
      <c r="K122" s="10">
        <f>SUM(G123:G125,G128:G132,G134)</f>
        <v>2406</v>
      </c>
    </row>
    <row r="123" spans="1:11">
      <c r="A123" s="9">
        <v>46092</v>
      </c>
      <c r="B123" s="1" t="s">
        <v>42</v>
      </c>
      <c r="C123" s="1" t="s">
        <v>19</v>
      </c>
      <c r="D123" s="1">
        <v>9875</v>
      </c>
      <c r="E123" s="11" t="s">
        <v>62</v>
      </c>
      <c r="F123" s="1">
        <v>608</v>
      </c>
      <c r="G123" s="1">
        <v>608</v>
      </c>
      <c r="J123" s="1" t="s">
        <v>12</v>
      </c>
      <c r="K123" s="10"/>
    </row>
    <row r="124" spans="1:11">
      <c r="A124" s="9">
        <v>46092</v>
      </c>
      <c r="B124" s="1" t="s">
        <v>41</v>
      </c>
      <c r="C124" s="1" t="s">
        <v>19</v>
      </c>
      <c r="D124" s="1">
        <v>865</v>
      </c>
      <c r="E124" s="11" t="s">
        <v>22</v>
      </c>
      <c r="F124" s="1">
        <v>8</v>
      </c>
      <c r="G124" s="1">
        <v>8</v>
      </c>
      <c r="J124" s="1" t="s">
        <v>12</v>
      </c>
      <c r="K124" s="10"/>
    </row>
    <row r="125" spans="1:11">
      <c r="A125" s="9">
        <v>46092</v>
      </c>
      <c r="B125" s="1" t="s">
        <v>41</v>
      </c>
      <c r="C125" s="1" t="s">
        <v>19</v>
      </c>
      <c r="D125" s="1">
        <v>859</v>
      </c>
      <c r="E125" s="11" t="s">
        <v>20</v>
      </c>
      <c r="F125" s="1">
        <v>1125</v>
      </c>
      <c r="G125" s="1">
        <v>1125</v>
      </c>
      <c r="J125" s="1" t="s">
        <v>12</v>
      </c>
      <c r="K125" s="10"/>
    </row>
    <row r="126" spans="1:11">
      <c r="A126" s="9">
        <v>46092</v>
      </c>
      <c r="B126" s="1" t="s">
        <v>41</v>
      </c>
      <c r="C126" s="1" t="s">
        <v>19</v>
      </c>
      <c r="D126" s="1">
        <v>840</v>
      </c>
      <c r="E126" s="11" t="s">
        <v>35</v>
      </c>
      <c r="F126" s="1">
        <v>315</v>
      </c>
      <c r="G126" s="1">
        <v>315</v>
      </c>
      <c r="J126" s="1" t="s">
        <v>12</v>
      </c>
      <c r="K126" s="10"/>
    </row>
    <row r="127" spans="1:11">
      <c r="A127" s="9">
        <v>46092</v>
      </c>
      <c r="B127" s="1" t="s">
        <v>41</v>
      </c>
      <c r="C127" s="1" t="s">
        <v>19</v>
      </c>
      <c r="D127" s="1">
        <v>863</v>
      </c>
      <c r="E127" s="11" t="s">
        <v>46</v>
      </c>
      <c r="F127" s="1">
        <v>216</v>
      </c>
      <c r="G127" s="1">
        <v>216</v>
      </c>
      <c r="J127" s="1" t="s">
        <v>12</v>
      </c>
      <c r="K127" s="10"/>
    </row>
    <row r="128" spans="1:11">
      <c r="A128" s="9">
        <v>46092</v>
      </c>
      <c r="B128" s="1" t="s">
        <v>41</v>
      </c>
      <c r="C128" s="1" t="s">
        <v>19</v>
      </c>
      <c r="D128" s="1">
        <v>896</v>
      </c>
      <c r="E128" s="11" t="s">
        <v>25</v>
      </c>
      <c r="F128" s="1">
        <v>111</v>
      </c>
      <c r="G128" s="1">
        <v>111</v>
      </c>
      <c r="J128" s="1" t="s">
        <v>12</v>
      </c>
      <c r="K128" s="10"/>
    </row>
    <row r="129" spans="1:11">
      <c r="A129" s="9">
        <v>46092</v>
      </c>
      <c r="B129" s="1" t="s">
        <v>41</v>
      </c>
      <c r="C129" s="1" t="s">
        <v>19</v>
      </c>
      <c r="D129" s="1">
        <v>850</v>
      </c>
      <c r="E129" s="11" t="s">
        <v>56</v>
      </c>
      <c r="F129" s="1">
        <v>111</v>
      </c>
      <c r="G129" s="1">
        <v>111</v>
      </c>
      <c r="J129" s="1" t="s">
        <v>12</v>
      </c>
      <c r="K129" s="10"/>
    </row>
    <row r="130" spans="1:11">
      <c r="A130" s="9">
        <v>46092</v>
      </c>
      <c r="B130" s="1" t="s">
        <v>41</v>
      </c>
      <c r="C130" s="1" t="s">
        <v>19</v>
      </c>
      <c r="D130" s="1">
        <v>867</v>
      </c>
      <c r="E130" s="11" t="s">
        <v>65</v>
      </c>
      <c r="F130" s="1">
        <v>111</v>
      </c>
      <c r="G130" s="1">
        <v>111</v>
      </c>
      <c r="J130" s="1" t="s">
        <v>12</v>
      </c>
      <c r="K130" s="10"/>
    </row>
    <row r="131" spans="1:11">
      <c r="A131" s="9">
        <v>46092</v>
      </c>
      <c r="B131" s="1" t="s">
        <v>41</v>
      </c>
      <c r="C131" s="1" t="s">
        <v>19</v>
      </c>
      <c r="D131" s="1">
        <v>866</v>
      </c>
      <c r="E131" s="11" t="s">
        <v>23</v>
      </c>
      <c r="F131" s="1">
        <v>111</v>
      </c>
      <c r="G131" s="1">
        <v>111</v>
      </c>
      <c r="J131" s="1" t="s">
        <v>12</v>
      </c>
      <c r="K131" s="10"/>
    </row>
    <row r="132" spans="1:11">
      <c r="A132" s="9">
        <v>46092</v>
      </c>
      <c r="B132" s="1" t="s">
        <v>41</v>
      </c>
      <c r="C132" s="1" t="s">
        <v>19</v>
      </c>
      <c r="D132" s="1">
        <v>827</v>
      </c>
      <c r="E132" s="11" t="s">
        <v>66</v>
      </c>
      <c r="F132" s="1">
        <v>141</v>
      </c>
      <c r="G132" s="1">
        <v>141</v>
      </c>
      <c r="J132" s="1" t="s">
        <v>12</v>
      </c>
      <c r="K132" s="10"/>
    </row>
    <row r="133" spans="1:11">
      <c r="A133" s="9">
        <v>46092</v>
      </c>
      <c r="B133" s="1" t="s">
        <v>41</v>
      </c>
      <c r="C133" s="1" t="s">
        <v>19</v>
      </c>
      <c r="D133" s="1">
        <v>865</v>
      </c>
      <c r="E133" s="11" t="s">
        <v>22</v>
      </c>
      <c r="F133" s="1">
        <v>856</v>
      </c>
      <c r="G133" s="1">
        <v>856</v>
      </c>
      <c r="J133" s="1" t="s">
        <v>12</v>
      </c>
      <c r="K133" s="10"/>
    </row>
    <row r="134" spans="1:11">
      <c r="A134" s="9">
        <v>46092</v>
      </c>
      <c r="B134" s="1" t="s">
        <v>43</v>
      </c>
      <c r="C134" s="1" t="s">
        <v>19</v>
      </c>
      <c r="D134" s="1">
        <v>809</v>
      </c>
      <c r="E134" s="11" t="s">
        <v>36</v>
      </c>
      <c r="F134" s="1">
        <v>80</v>
      </c>
      <c r="G134" s="1">
        <v>80</v>
      </c>
      <c r="J134" s="1" t="s">
        <v>12</v>
      </c>
      <c r="K134" s="10"/>
    </row>
    <row r="135" spans="1:11">
      <c r="A135" s="9">
        <v>46093</v>
      </c>
      <c r="B135" s="1" t="s">
        <v>41</v>
      </c>
      <c r="C135" s="1" t="s">
        <v>19</v>
      </c>
      <c r="D135" s="1">
        <v>820</v>
      </c>
      <c r="E135" s="11" t="s">
        <v>51</v>
      </c>
      <c r="F135" s="1">
        <v>556</v>
      </c>
      <c r="G135" s="1">
        <v>556</v>
      </c>
      <c r="J135" s="1" t="s">
        <v>12</v>
      </c>
      <c r="K135" s="10">
        <f>SUM(G138:G155)</f>
        <v>2786</v>
      </c>
    </row>
    <row r="136" spans="1:11">
      <c r="A136" s="9">
        <v>46093</v>
      </c>
      <c r="B136" s="1" t="s">
        <v>41</v>
      </c>
      <c r="C136" s="1" t="s">
        <v>19</v>
      </c>
      <c r="D136" s="1">
        <v>860</v>
      </c>
      <c r="E136" s="11" t="s">
        <v>44</v>
      </c>
      <c r="F136" s="1">
        <v>556</v>
      </c>
      <c r="G136" s="1">
        <v>556</v>
      </c>
      <c r="J136" s="1" t="s">
        <v>12</v>
      </c>
      <c r="K136" s="10"/>
    </row>
    <row r="137" spans="1:11">
      <c r="A137" s="9">
        <v>46093</v>
      </c>
      <c r="B137" s="1" t="s">
        <v>41</v>
      </c>
      <c r="C137" s="1" t="s">
        <v>19</v>
      </c>
      <c r="D137" s="1">
        <v>861</v>
      </c>
      <c r="E137" s="11" t="s">
        <v>45</v>
      </c>
      <c r="F137" s="1">
        <v>796</v>
      </c>
      <c r="G137" s="1">
        <v>796</v>
      </c>
      <c r="J137" s="1" t="s">
        <v>12</v>
      </c>
      <c r="K137" s="10"/>
    </row>
    <row r="138" spans="1:11">
      <c r="A138" s="9">
        <v>46093</v>
      </c>
      <c r="B138" s="1" t="s">
        <v>41</v>
      </c>
      <c r="C138" s="1" t="s">
        <v>19</v>
      </c>
      <c r="D138" s="1">
        <v>858</v>
      </c>
      <c r="E138" s="11" t="s">
        <v>57</v>
      </c>
      <c r="F138" s="1">
        <v>243</v>
      </c>
      <c r="G138" s="1">
        <v>243</v>
      </c>
      <c r="J138" s="1" t="s">
        <v>12</v>
      </c>
      <c r="K138" s="10"/>
    </row>
    <row r="139" spans="1:11">
      <c r="A139" s="9">
        <v>46093</v>
      </c>
      <c r="B139" s="1" t="s">
        <v>42</v>
      </c>
      <c r="C139" s="1" t="s">
        <v>19</v>
      </c>
      <c r="D139" s="1">
        <v>856</v>
      </c>
      <c r="E139" s="11" t="s">
        <v>54</v>
      </c>
      <c r="F139" s="1">
        <v>232</v>
      </c>
      <c r="G139" s="1">
        <v>232</v>
      </c>
      <c r="J139" s="1" t="s">
        <v>12</v>
      </c>
      <c r="K139" s="10"/>
    </row>
    <row r="140" spans="1:11">
      <c r="A140" s="9">
        <v>46093</v>
      </c>
      <c r="B140" s="1" t="s">
        <v>41</v>
      </c>
      <c r="C140" s="1" t="s">
        <v>19</v>
      </c>
      <c r="D140" s="1">
        <v>850</v>
      </c>
      <c r="E140" s="11" t="s">
        <v>56</v>
      </c>
      <c r="F140" s="1">
        <v>291</v>
      </c>
      <c r="G140" s="1">
        <v>291</v>
      </c>
      <c r="J140" s="1" t="s">
        <v>12</v>
      </c>
      <c r="K140" s="10"/>
    </row>
    <row r="141" spans="1:11">
      <c r="A141" s="9">
        <v>46093</v>
      </c>
      <c r="B141" s="1" t="s">
        <v>41</v>
      </c>
      <c r="C141" s="1" t="s">
        <v>19</v>
      </c>
      <c r="D141" s="1">
        <v>840</v>
      </c>
      <c r="E141" s="11" t="s">
        <v>35</v>
      </c>
      <c r="F141" s="1">
        <v>243</v>
      </c>
      <c r="G141" s="1">
        <v>243</v>
      </c>
      <c r="J141" s="1" t="s">
        <v>12</v>
      </c>
      <c r="K141" s="10"/>
    </row>
    <row r="142" spans="1:11">
      <c r="A142" s="9">
        <v>46093</v>
      </c>
      <c r="B142" s="1" t="s">
        <v>41</v>
      </c>
      <c r="C142" s="1" t="s">
        <v>19</v>
      </c>
      <c r="D142" s="1">
        <v>609</v>
      </c>
      <c r="E142" s="11" t="s">
        <v>55</v>
      </c>
      <c r="F142" s="1">
        <v>972</v>
      </c>
      <c r="G142" s="1">
        <v>972</v>
      </c>
      <c r="J142" s="1" t="s">
        <v>12</v>
      </c>
      <c r="K142" s="10"/>
    </row>
    <row r="143" spans="1:11">
      <c r="A143" s="9">
        <v>46093</v>
      </c>
      <c r="B143" s="1" t="s">
        <v>41</v>
      </c>
      <c r="C143" s="1" t="s">
        <v>19</v>
      </c>
      <c r="D143" s="1">
        <v>896</v>
      </c>
      <c r="E143" s="11" t="s">
        <v>25</v>
      </c>
      <c r="F143" s="1">
        <v>170</v>
      </c>
      <c r="G143" s="1">
        <v>170</v>
      </c>
      <c r="J143" s="1" t="s">
        <v>12</v>
      </c>
      <c r="K143" s="10"/>
    </row>
    <row r="144" spans="1:11">
      <c r="A144" s="9">
        <v>46093</v>
      </c>
      <c r="B144" s="1" t="s">
        <v>41</v>
      </c>
      <c r="C144" s="1" t="s">
        <v>19</v>
      </c>
      <c r="D144" s="1">
        <v>863</v>
      </c>
      <c r="E144" s="11" t="s">
        <v>46</v>
      </c>
      <c r="F144" s="1">
        <v>170</v>
      </c>
      <c r="G144" s="1">
        <v>170</v>
      </c>
      <c r="J144" s="1" t="s">
        <v>12</v>
      </c>
      <c r="K144" s="10"/>
    </row>
    <row r="145" spans="1:11">
      <c r="A145" s="9">
        <v>46093</v>
      </c>
      <c r="B145" s="1" t="s">
        <v>41</v>
      </c>
      <c r="C145" s="1" t="s">
        <v>19</v>
      </c>
      <c r="D145" s="1">
        <v>817</v>
      </c>
      <c r="E145" s="11" t="s">
        <v>48</v>
      </c>
      <c r="F145" s="1">
        <v>138</v>
      </c>
      <c r="G145" s="1">
        <v>138</v>
      </c>
      <c r="J145" s="1" t="s">
        <v>12</v>
      </c>
      <c r="K145" s="10"/>
    </row>
    <row r="146" spans="1:11">
      <c r="A146" s="9">
        <v>46093</v>
      </c>
      <c r="B146" s="1" t="s">
        <v>41</v>
      </c>
      <c r="C146" s="1" t="s">
        <v>19</v>
      </c>
      <c r="D146" s="1">
        <v>818</v>
      </c>
      <c r="E146" s="11" t="s">
        <v>47</v>
      </c>
      <c r="F146" s="1">
        <v>2</v>
      </c>
      <c r="G146" s="1">
        <v>2</v>
      </c>
      <c r="J146" s="1" t="s">
        <v>12</v>
      </c>
      <c r="K146" s="10"/>
    </row>
    <row r="147" spans="1:11">
      <c r="A147" s="9">
        <v>46093</v>
      </c>
      <c r="B147" s="1" t="s">
        <v>41</v>
      </c>
      <c r="C147" s="1" t="s">
        <v>19</v>
      </c>
      <c r="D147" s="1">
        <v>851</v>
      </c>
      <c r="E147" s="11" t="s">
        <v>21</v>
      </c>
      <c r="F147" s="1">
        <v>12</v>
      </c>
      <c r="G147" s="1">
        <v>12</v>
      </c>
      <c r="J147" s="1" t="s">
        <v>12</v>
      </c>
      <c r="K147" s="10"/>
    </row>
    <row r="148" spans="1:11">
      <c r="A148" s="9">
        <v>46093</v>
      </c>
      <c r="B148" s="1" t="s">
        <v>41</v>
      </c>
      <c r="C148" s="1" t="s">
        <v>19</v>
      </c>
      <c r="D148" s="1">
        <v>853</v>
      </c>
      <c r="E148" s="11" t="s">
        <v>49</v>
      </c>
      <c r="F148" s="1">
        <v>2</v>
      </c>
      <c r="G148" s="1">
        <v>2</v>
      </c>
      <c r="J148" s="1" t="s">
        <v>12</v>
      </c>
      <c r="K148" s="10"/>
    </row>
    <row r="149" spans="1:11">
      <c r="A149" s="9">
        <v>46093</v>
      </c>
      <c r="B149" s="1" t="s">
        <v>41</v>
      </c>
      <c r="C149" s="1" t="s">
        <v>19</v>
      </c>
      <c r="D149" s="1">
        <v>820</v>
      </c>
      <c r="E149" s="11" t="s">
        <v>51</v>
      </c>
      <c r="F149" s="1">
        <v>12</v>
      </c>
      <c r="G149" s="1">
        <v>12</v>
      </c>
      <c r="J149" s="1" t="s">
        <v>12</v>
      </c>
      <c r="K149" s="10"/>
    </row>
    <row r="150" spans="1:11">
      <c r="A150" s="9">
        <v>46093</v>
      </c>
      <c r="B150" s="1" t="s">
        <v>43</v>
      </c>
      <c r="C150" s="1" t="s">
        <v>19</v>
      </c>
      <c r="D150" s="1">
        <v>838</v>
      </c>
      <c r="E150" s="11" t="s">
        <v>63</v>
      </c>
      <c r="F150" s="1">
        <v>108</v>
      </c>
      <c r="G150" s="1">
        <v>108</v>
      </c>
      <c r="J150" s="1" t="s">
        <v>12</v>
      </c>
      <c r="K150" s="10"/>
    </row>
    <row r="151" spans="1:11">
      <c r="A151" s="9">
        <v>46093</v>
      </c>
      <c r="B151" s="1" t="s">
        <v>43</v>
      </c>
      <c r="C151" s="1" t="s">
        <v>19</v>
      </c>
      <c r="D151" s="1">
        <v>835</v>
      </c>
      <c r="E151" s="11" t="s">
        <v>37</v>
      </c>
      <c r="F151" s="1">
        <v>109</v>
      </c>
      <c r="G151" s="1">
        <v>109</v>
      </c>
      <c r="J151" s="1" t="s">
        <v>12</v>
      </c>
      <c r="K151" s="10"/>
    </row>
    <row r="152" spans="1:11">
      <c r="A152" s="9">
        <v>46093</v>
      </c>
      <c r="B152" s="1" t="s">
        <v>43</v>
      </c>
      <c r="C152" s="1" t="s">
        <v>19</v>
      </c>
      <c r="D152" s="1">
        <v>837</v>
      </c>
      <c r="E152" s="11" t="s">
        <v>72</v>
      </c>
      <c r="F152" s="1">
        <v>4</v>
      </c>
      <c r="G152" s="1">
        <v>4</v>
      </c>
      <c r="J152" s="1" t="s">
        <v>12</v>
      </c>
      <c r="K152" s="10"/>
    </row>
    <row r="153" spans="1:11">
      <c r="A153" s="9">
        <v>46093</v>
      </c>
      <c r="B153" s="1" t="s">
        <v>42</v>
      </c>
      <c r="C153" s="1" t="s">
        <v>19</v>
      </c>
      <c r="D153" s="1">
        <v>807</v>
      </c>
      <c r="E153" s="11" t="s">
        <v>53</v>
      </c>
      <c r="F153" s="1">
        <v>12</v>
      </c>
      <c r="G153" s="1">
        <v>12</v>
      </c>
      <c r="J153" s="1" t="s">
        <v>12</v>
      </c>
      <c r="K153" s="10"/>
    </row>
    <row r="154" spans="1:11">
      <c r="A154" s="9">
        <v>46093</v>
      </c>
      <c r="B154" s="1" t="s">
        <v>42</v>
      </c>
      <c r="C154" s="1" t="s">
        <v>19</v>
      </c>
      <c r="D154" s="1">
        <v>875</v>
      </c>
      <c r="E154" s="11" t="s">
        <v>52</v>
      </c>
      <c r="F154" s="1">
        <v>6</v>
      </c>
      <c r="G154" s="1">
        <v>6</v>
      </c>
      <c r="J154" s="1" t="s">
        <v>12</v>
      </c>
      <c r="K154" s="10"/>
    </row>
    <row r="155" spans="1:11">
      <c r="A155" s="9">
        <v>46093</v>
      </c>
      <c r="B155" s="1" t="s">
        <v>42</v>
      </c>
      <c r="C155" s="1" t="s">
        <v>19</v>
      </c>
      <c r="D155" s="1">
        <v>9875</v>
      </c>
      <c r="E155" s="11" t="s">
        <v>62</v>
      </c>
      <c r="F155" s="1">
        <v>60</v>
      </c>
      <c r="G155" s="1">
        <v>60</v>
      </c>
      <c r="J155" s="1" t="s">
        <v>12</v>
      </c>
      <c r="K155" s="10"/>
    </row>
    <row r="156" spans="1:11">
      <c r="A156" s="9">
        <v>46094</v>
      </c>
      <c r="B156" s="1" t="s">
        <v>41</v>
      </c>
      <c r="C156" s="1" t="s">
        <v>19</v>
      </c>
      <c r="D156" s="1">
        <v>880</v>
      </c>
      <c r="E156" s="11" t="s">
        <v>24</v>
      </c>
      <c r="F156" s="1">
        <v>1062</v>
      </c>
      <c r="G156" s="1">
        <v>1062</v>
      </c>
      <c r="J156" s="1" t="s">
        <v>12</v>
      </c>
      <c r="K156" s="10">
        <f>SUM(G157:G166,G168)</f>
        <v>3782</v>
      </c>
    </row>
    <row r="157" spans="1:11">
      <c r="A157" s="9">
        <v>46094</v>
      </c>
      <c r="B157" s="1" t="s">
        <v>41</v>
      </c>
      <c r="C157" s="1" t="s">
        <v>19</v>
      </c>
      <c r="D157" s="1">
        <v>896</v>
      </c>
      <c r="E157" s="11" t="s">
        <v>25</v>
      </c>
      <c r="F157" s="1">
        <v>476</v>
      </c>
      <c r="G157" s="1">
        <v>476</v>
      </c>
      <c r="J157" s="1" t="s">
        <v>12</v>
      </c>
      <c r="K157" s="10"/>
    </row>
    <row r="158" spans="1:11">
      <c r="A158" s="9">
        <v>46094</v>
      </c>
      <c r="B158" s="1" t="s">
        <v>41</v>
      </c>
      <c r="C158" s="1" t="s">
        <v>19</v>
      </c>
      <c r="D158" s="1">
        <v>817</v>
      </c>
      <c r="E158" s="11" t="s">
        <v>48</v>
      </c>
      <c r="F158" s="1">
        <v>309</v>
      </c>
      <c r="G158" s="1">
        <v>309</v>
      </c>
      <c r="J158" s="1" t="s">
        <v>12</v>
      </c>
      <c r="K158" s="10"/>
    </row>
    <row r="159" spans="1:11">
      <c r="A159" s="9">
        <v>46094</v>
      </c>
      <c r="B159" s="1" t="s">
        <v>41</v>
      </c>
      <c r="C159" s="1" t="s">
        <v>19</v>
      </c>
      <c r="D159" s="1">
        <v>859</v>
      </c>
      <c r="E159" s="11" t="s">
        <v>20</v>
      </c>
      <c r="F159" s="1">
        <v>309</v>
      </c>
      <c r="G159" s="1">
        <v>309</v>
      </c>
      <c r="J159" s="1" t="s">
        <v>12</v>
      </c>
      <c r="K159" s="10"/>
    </row>
    <row r="160" spans="1:11">
      <c r="A160" s="9">
        <v>46094</v>
      </c>
      <c r="B160" s="1" t="s">
        <v>41</v>
      </c>
      <c r="C160" s="1" t="s">
        <v>19</v>
      </c>
      <c r="D160" s="1">
        <v>865</v>
      </c>
      <c r="E160" s="11" t="s">
        <v>22</v>
      </c>
      <c r="F160" s="1">
        <v>4</v>
      </c>
      <c r="G160" s="1">
        <v>4</v>
      </c>
      <c r="J160" s="1" t="s">
        <v>12</v>
      </c>
      <c r="K160" s="10"/>
    </row>
    <row r="161" spans="1:11">
      <c r="A161" s="9">
        <v>46094</v>
      </c>
      <c r="B161" s="1" t="s">
        <v>43</v>
      </c>
      <c r="C161" s="1" t="s">
        <v>19</v>
      </c>
      <c r="D161" s="1">
        <v>835</v>
      </c>
      <c r="E161" s="11" t="s">
        <v>37</v>
      </c>
      <c r="F161" s="1">
        <v>519</v>
      </c>
      <c r="G161" s="1">
        <v>519</v>
      </c>
      <c r="J161" s="1" t="s">
        <v>12</v>
      </c>
      <c r="K161" s="10"/>
    </row>
    <row r="162" spans="1:11">
      <c r="A162" s="9">
        <v>46094</v>
      </c>
      <c r="B162" s="1" t="s">
        <v>43</v>
      </c>
      <c r="C162" s="1" t="s">
        <v>19</v>
      </c>
      <c r="D162" s="1">
        <v>809</v>
      </c>
      <c r="E162" s="11" t="s">
        <v>36</v>
      </c>
      <c r="F162" s="1">
        <v>249</v>
      </c>
      <c r="G162" s="1">
        <v>249</v>
      </c>
      <c r="J162" s="1" t="s">
        <v>12</v>
      </c>
      <c r="K162" s="10"/>
    </row>
    <row r="163" spans="1:11">
      <c r="A163" s="9">
        <v>46094</v>
      </c>
      <c r="B163" s="1" t="s">
        <v>42</v>
      </c>
      <c r="C163" s="1" t="s">
        <v>19</v>
      </c>
      <c r="D163" s="1">
        <v>856</v>
      </c>
      <c r="E163" s="11" t="s">
        <v>54</v>
      </c>
      <c r="F163" s="1">
        <v>384</v>
      </c>
      <c r="G163" s="1">
        <v>384</v>
      </c>
      <c r="J163" s="1" t="s">
        <v>12</v>
      </c>
      <c r="K163" s="10"/>
    </row>
    <row r="164" spans="1:11">
      <c r="A164" s="9">
        <v>46094</v>
      </c>
      <c r="B164" s="1" t="s">
        <v>42</v>
      </c>
      <c r="C164" s="1" t="s">
        <v>19</v>
      </c>
      <c r="D164" s="1">
        <v>875</v>
      </c>
      <c r="E164" s="11" t="s">
        <v>52</v>
      </c>
      <c r="F164" s="1">
        <v>252</v>
      </c>
      <c r="G164" s="1">
        <v>252</v>
      </c>
      <c r="J164" s="1" t="s">
        <v>12</v>
      </c>
      <c r="K164" s="10"/>
    </row>
    <row r="165" spans="1:11">
      <c r="A165" s="9">
        <v>46094</v>
      </c>
      <c r="B165" s="1" t="s">
        <v>42</v>
      </c>
      <c r="C165" s="1" t="s">
        <v>19</v>
      </c>
      <c r="D165" s="1">
        <v>875</v>
      </c>
      <c r="E165" s="11" t="s">
        <v>52</v>
      </c>
      <c r="F165" s="1">
        <v>364</v>
      </c>
      <c r="G165" s="1">
        <v>364</v>
      </c>
      <c r="J165" s="1" t="s">
        <v>12</v>
      </c>
      <c r="K165" s="10"/>
    </row>
    <row r="166" spans="1:11">
      <c r="A166" s="9">
        <v>46094</v>
      </c>
      <c r="B166" s="1" t="s">
        <v>43</v>
      </c>
      <c r="C166" s="1" t="s">
        <v>19</v>
      </c>
      <c r="D166" s="1">
        <v>857</v>
      </c>
      <c r="E166" s="11" t="s">
        <v>60</v>
      </c>
      <c r="F166" s="1">
        <v>580</v>
      </c>
      <c r="G166" s="1">
        <v>580</v>
      </c>
      <c r="J166" s="1" t="s">
        <v>12</v>
      </c>
      <c r="K166" s="10"/>
    </row>
    <row r="167" spans="1:11">
      <c r="A167" s="9">
        <v>46094</v>
      </c>
      <c r="B167" s="1" t="s">
        <v>43</v>
      </c>
      <c r="C167" s="1" t="s">
        <v>19</v>
      </c>
      <c r="D167" s="1">
        <v>838</v>
      </c>
      <c r="E167" s="11" t="s">
        <v>63</v>
      </c>
      <c r="F167" s="1">
        <v>540</v>
      </c>
      <c r="G167" s="1">
        <v>540</v>
      </c>
      <c r="J167" s="1" t="s">
        <v>12</v>
      </c>
      <c r="K167" s="10"/>
    </row>
    <row r="168" spans="1:11">
      <c r="A168" s="9">
        <v>46094</v>
      </c>
      <c r="B168" s="1" t="s">
        <v>43</v>
      </c>
      <c r="C168" s="1" t="s">
        <v>19</v>
      </c>
      <c r="D168" s="1">
        <v>885</v>
      </c>
      <c r="E168" s="11" t="s">
        <v>59</v>
      </c>
      <c r="F168" s="1">
        <v>336</v>
      </c>
      <c r="G168" s="1">
        <v>336</v>
      </c>
      <c r="J168" s="1" t="s">
        <v>12</v>
      </c>
      <c r="K168" s="10"/>
    </row>
    <row r="169" spans="1:11">
      <c r="A169" s="9">
        <v>46094</v>
      </c>
      <c r="B169" s="1" t="s">
        <v>41</v>
      </c>
      <c r="C169" s="1" t="s">
        <v>19</v>
      </c>
      <c r="D169" s="1">
        <v>865</v>
      </c>
      <c r="E169" s="11" t="s">
        <v>22</v>
      </c>
      <c r="F169" s="1">
        <v>1528</v>
      </c>
      <c r="G169" s="1">
        <v>1528</v>
      </c>
      <c r="J169" s="1" t="s">
        <v>12</v>
      </c>
      <c r="K169" s="10"/>
    </row>
    <row r="170" spans="1:11">
      <c r="A170" s="9">
        <v>46095</v>
      </c>
      <c r="B170" s="1" t="s">
        <v>41</v>
      </c>
      <c r="C170" s="1" t="s">
        <v>19</v>
      </c>
      <c r="D170" s="1">
        <v>609</v>
      </c>
      <c r="E170" s="11" t="s">
        <v>55</v>
      </c>
      <c r="F170" s="1">
        <v>1002</v>
      </c>
      <c r="G170" s="1">
        <v>1002</v>
      </c>
      <c r="J170" s="1" t="s">
        <v>12</v>
      </c>
      <c r="K170" s="10">
        <f>SUM(G172:G173,G175,G177:G178)</f>
        <v>2389</v>
      </c>
    </row>
    <row r="171" spans="1:11">
      <c r="A171" s="9">
        <v>46095</v>
      </c>
      <c r="B171" s="1" t="s">
        <v>41</v>
      </c>
      <c r="C171" s="1" t="s">
        <v>19</v>
      </c>
      <c r="D171" s="1">
        <v>818</v>
      </c>
      <c r="E171" s="11" t="s">
        <v>47</v>
      </c>
      <c r="F171" s="1">
        <v>876</v>
      </c>
      <c r="G171" s="1">
        <v>876</v>
      </c>
      <c r="J171" s="1" t="s">
        <v>12</v>
      </c>
      <c r="K171" s="10"/>
    </row>
    <row r="172" spans="1:11">
      <c r="A172" s="9">
        <v>46095</v>
      </c>
      <c r="B172" s="1" t="s">
        <v>41</v>
      </c>
      <c r="C172" s="1" t="s">
        <v>19</v>
      </c>
      <c r="D172" s="1">
        <v>858</v>
      </c>
      <c r="E172" s="11" t="s">
        <v>57</v>
      </c>
      <c r="F172" s="1">
        <v>948</v>
      </c>
      <c r="G172" s="1">
        <v>948</v>
      </c>
      <c r="J172" s="1" t="s">
        <v>12</v>
      </c>
      <c r="K172" s="10"/>
    </row>
    <row r="173" spans="1:11">
      <c r="A173" s="9">
        <v>46095</v>
      </c>
      <c r="B173" s="1" t="s">
        <v>41</v>
      </c>
      <c r="C173" s="1" t="s">
        <v>19</v>
      </c>
      <c r="D173" s="1">
        <v>817</v>
      </c>
      <c r="E173" s="11" t="s">
        <v>48</v>
      </c>
      <c r="F173" s="1">
        <v>448</v>
      </c>
      <c r="G173" s="1">
        <v>448</v>
      </c>
      <c r="J173" s="1" t="s">
        <v>12</v>
      </c>
      <c r="K173" s="10"/>
    </row>
    <row r="174" spans="1:11">
      <c r="A174" s="9">
        <v>46095</v>
      </c>
      <c r="B174" s="1" t="s">
        <v>41</v>
      </c>
      <c r="C174" s="1" t="s">
        <v>19</v>
      </c>
      <c r="D174" s="1">
        <v>827</v>
      </c>
      <c r="E174" s="11" t="s">
        <v>66</v>
      </c>
      <c r="F174" s="1">
        <v>336</v>
      </c>
      <c r="G174" s="1">
        <v>336</v>
      </c>
      <c r="J174" s="1" t="s">
        <v>12</v>
      </c>
      <c r="K174" s="10"/>
    </row>
    <row r="175" spans="1:11">
      <c r="A175" s="9">
        <v>46095</v>
      </c>
      <c r="B175" s="1" t="s">
        <v>41</v>
      </c>
      <c r="C175" s="1" t="s">
        <v>19</v>
      </c>
      <c r="D175" s="1">
        <v>813</v>
      </c>
      <c r="E175" s="11" t="s">
        <v>38</v>
      </c>
      <c r="F175" s="1">
        <v>123</v>
      </c>
      <c r="G175" s="1">
        <v>123</v>
      </c>
      <c r="J175" s="1" t="s">
        <v>12</v>
      </c>
      <c r="K175" s="10"/>
    </row>
    <row r="176" spans="1:11">
      <c r="A176" s="9">
        <v>46095</v>
      </c>
      <c r="B176" s="1" t="s">
        <v>43</v>
      </c>
      <c r="C176" s="1" t="s">
        <v>19</v>
      </c>
      <c r="D176" s="1">
        <v>835</v>
      </c>
      <c r="E176" s="11" t="s">
        <v>37</v>
      </c>
      <c r="F176" s="1">
        <v>696</v>
      </c>
      <c r="G176" s="1">
        <v>696</v>
      </c>
      <c r="J176" s="1" t="s">
        <v>12</v>
      </c>
      <c r="K176" s="10"/>
    </row>
    <row r="177" spans="1:11">
      <c r="A177" s="9">
        <v>46095</v>
      </c>
      <c r="B177" s="1" t="s">
        <v>43</v>
      </c>
      <c r="C177" s="1" t="s">
        <v>19</v>
      </c>
      <c r="D177" s="1">
        <v>809</v>
      </c>
      <c r="E177" s="11" t="s">
        <v>36</v>
      </c>
      <c r="F177" s="1">
        <v>476</v>
      </c>
      <c r="G177" s="1">
        <v>476</v>
      </c>
      <c r="J177" s="1" t="s">
        <v>12</v>
      </c>
      <c r="K177" s="10"/>
    </row>
    <row r="178" spans="1:11">
      <c r="A178" s="9">
        <v>46095</v>
      </c>
      <c r="B178" s="1" t="s">
        <v>41</v>
      </c>
      <c r="C178" s="1" t="s">
        <v>19</v>
      </c>
      <c r="D178" s="1">
        <v>856</v>
      </c>
      <c r="E178" s="11" t="s">
        <v>54</v>
      </c>
      <c r="F178" s="1">
        <v>394</v>
      </c>
      <c r="G178" s="1">
        <v>394</v>
      </c>
      <c r="J178" s="1" t="s">
        <v>12</v>
      </c>
      <c r="K178" s="10"/>
    </row>
    <row r="179" spans="1:11">
      <c r="A179" s="9">
        <v>46095</v>
      </c>
      <c r="B179" s="1" t="s">
        <v>41</v>
      </c>
      <c r="C179" s="1" t="s">
        <v>19</v>
      </c>
      <c r="D179" s="1">
        <v>866</v>
      </c>
      <c r="E179" s="11" t="s">
        <v>23</v>
      </c>
      <c r="F179" s="1">
        <v>497</v>
      </c>
      <c r="G179" s="1">
        <v>497</v>
      </c>
      <c r="J179" s="1" t="s">
        <v>12</v>
      </c>
      <c r="K179" s="10"/>
    </row>
    <row r="180" spans="1:11">
      <c r="A180" s="9">
        <v>46096</v>
      </c>
      <c r="B180" s="1" t="s">
        <v>43</v>
      </c>
      <c r="C180" s="1" t="s">
        <v>19</v>
      </c>
      <c r="D180" s="1">
        <v>857</v>
      </c>
      <c r="E180" s="11" t="s">
        <v>60</v>
      </c>
      <c r="F180" s="1">
        <v>660</v>
      </c>
      <c r="G180" s="1">
        <v>660</v>
      </c>
      <c r="J180" s="1" t="s">
        <v>12</v>
      </c>
      <c r="K180" s="10">
        <f>SUM(G183:G189,G191)</f>
        <v>3362</v>
      </c>
    </row>
    <row r="181" spans="1:11">
      <c r="A181" s="9">
        <v>46096</v>
      </c>
      <c r="B181" s="1" t="s">
        <v>43</v>
      </c>
      <c r="C181" s="1" t="s">
        <v>19</v>
      </c>
      <c r="D181" s="1">
        <v>871</v>
      </c>
      <c r="E181" s="11" t="s">
        <v>64</v>
      </c>
      <c r="F181" s="1">
        <v>304</v>
      </c>
      <c r="G181" s="1">
        <v>304</v>
      </c>
      <c r="J181" s="1" t="s">
        <v>12</v>
      </c>
      <c r="K181" s="10"/>
    </row>
    <row r="182" spans="1:11">
      <c r="A182" s="9">
        <v>46096</v>
      </c>
      <c r="B182" s="1" t="s">
        <v>43</v>
      </c>
      <c r="C182" s="1" t="s">
        <v>19</v>
      </c>
      <c r="D182" s="1">
        <v>613</v>
      </c>
      <c r="E182" s="11" t="s">
        <v>58</v>
      </c>
      <c r="F182" s="1">
        <v>584</v>
      </c>
      <c r="G182" s="1">
        <v>584</v>
      </c>
      <c r="J182" s="1" t="s">
        <v>12</v>
      </c>
      <c r="K182" s="10"/>
    </row>
    <row r="183" spans="1:11">
      <c r="A183" s="9">
        <v>46096</v>
      </c>
      <c r="B183" s="1" t="s">
        <v>43</v>
      </c>
      <c r="C183" s="1" t="s">
        <v>19</v>
      </c>
      <c r="D183" s="1">
        <v>809</v>
      </c>
      <c r="E183" s="11" t="s">
        <v>36</v>
      </c>
      <c r="F183" s="1">
        <v>592</v>
      </c>
      <c r="G183" s="1">
        <v>592</v>
      </c>
      <c r="J183" s="1" t="s">
        <v>12</v>
      </c>
      <c r="K183" s="10"/>
    </row>
    <row r="184" spans="1:11">
      <c r="A184" s="9">
        <v>46096</v>
      </c>
      <c r="B184" s="1" t="s">
        <v>41</v>
      </c>
      <c r="C184" s="1" t="s">
        <v>19</v>
      </c>
      <c r="D184" s="1">
        <v>861</v>
      </c>
      <c r="E184" s="11" t="s">
        <v>45</v>
      </c>
      <c r="F184" s="1">
        <v>686</v>
      </c>
      <c r="G184" s="1">
        <v>686</v>
      </c>
      <c r="J184" s="1" t="s">
        <v>12</v>
      </c>
      <c r="K184" s="10"/>
    </row>
    <row r="185" spans="1:11">
      <c r="A185" s="9">
        <v>46096</v>
      </c>
      <c r="B185" s="1" t="s">
        <v>41</v>
      </c>
      <c r="C185" s="1" t="s">
        <v>19</v>
      </c>
      <c r="D185" s="1">
        <v>609</v>
      </c>
      <c r="E185" s="11" t="s">
        <v>55</v>
      </c>
      <c r="F185" s="1">
        <v>590</v>
      </c>
      <c r="G185" s="1">
        <v>590</v>
      </c>
      <c r="J185" s="1" t="s">
        <v>12</v>
      </c>
      <c r="K185" s="10"/>
    </row>
    <row r="186" spans="1:11">
      <c r="A186" s="9">
        <v>46096</v>
      </c>
      <c r="B186" s="1" t="s">
        <v>41</v>
      </c>
      <c r="C186" s="1" t="s">
        <v>19</v>
      </c>
      <c r="D186" s="1">
        <v>880</v>
      </c>
      <c r="E186" s="11" t="s">
        <v>24</v>
      </c>
      <c r="F186" s="1">
        <v>520</v>
      </c>
      <c r="G186" s="1">
        <v>520</v>
      </c>
      <c r="J186" s="1" t="s">
        <v>12</v>
      </c>
      <c r="K186" s="10"/>
    </row>
    <row r="187" spans="1:11">
      <c r="A187" s="9">
        <v>46096</v>
      </c>
      <c r="B187" s="1" t="s">
        <v>41</v>
      </c>
      <c r="C187" s="1" t="s">
        <v>19</v>
      </c>
      <c r="D187" s="1">
        <v>818</v>
      </c>
      <c r="E187" s="11" t="s">
        <v>47</v>
      </c>
      <c r="F187" s="1">
        <v>10</v>
      </c>
      <c r="G187" s="1">
        <v>10</v>
      </c>
      <c r="J187" s="1" t="s">
        <v>12</v>
      </c>
      <c r="K187" s="10"/>
    </row>
    <row r="188" spans="1:11">
      <c r="A188" s="9">
        <v>46096</v>
      </c>
      <c r="B188" s="1" t="s">
        <v>41</v>
      </c>
      <c r="C188" s="1" t="s">
        <v>19</v>
      </c>
      <c r="D188" s="1">
        <v>840</v>
      </c>
      <c r="E188" s="11" t="s">
        <v>35</v>
      </c>
      <c r="F188" s="1">
        <v>38</v>
      </c>
      <c r="G188" s="1">
        <v>38</v>
      </c>
      <c r="J188" s="1" t="s">
        <v>12</v>
      </c>
      <c r="K188" s="10"/>
    </row>
    <row r="189" spans="1:11">
      <c r="A189" s="9">
        <v>46096</v>
      </c>
      <c r="B189" s="1" t="s">
        <v>42</v>
      </c>
      <c r="C189" s="1" t="s">
        <v>19</v>
      </c>
      <c r="D189" s="1">
        <v>856</v>
      </c>
      <c r="E189" s="11" t="s">
        <v>54</v>
      </c>
      <c r="F189" s="1">
        <v>428</v>
      </c>
      <c r="G189" s="1">
        <v>428</v>
      </c>
      <c r="J189" s="1" t="s">
        <v>12</v>
      </c>
      <c r="K189" s="10"/>
    </row>
    <row r="190" spans="1:11">
      <c r="A190" s="9">
        <v>46096</v>
      </c>
      <c r="B190" s="1" t="s">
        <v>41</v>
      </c>
      <c r="C190" s="1" t="s">
        <v>19</v>
      </c>
      <c r="D190" s="1">
        <v>865</v>
      </c>
      <c r="E190" s="11" t="s">
        <v>22</v>
      </c>
      <c r="F190" s="1">
        <v>942</v>
      </c>
      <c r="G190" s="1">
        <v>942</v>
      </c>
      <c r="J190" s="1" t="s">
        <v>12</v>
      </c>
      <c r="K190" s="10"/>
    </row>
    <row r="191" spans="1:11">
      <c r="A191" s="9">
        <v>46096</v>
      </c>
      <c r="B191" s="1" t="s">
        <v>41</v>
      </c>
      <c r="C191" s="1" t="s">
        <v>19</v>
      </c>
      <c r="D191" s="1">
        <v>866</v>
      </c>
      <c r="E191" s="11" t="s">
        <v>23</v>
      </c>
      <c r="F191" s="1">
        <v>498</v>
      </c>
      <c r="G191" s="1">
        <v>498</v>
      </c>
      <c r="J191" s="1" t="s">
        <v>12</v>
      </c>
      <c r="K191" s="10"/>
    </row>
    <row r="192" spans="1:11">
      <c r="A192" s="9">
        <v>46097</v>
      </c>
      <c r="B192" s="1" t="s">
        <v>41</v>
      </c>
      <c r="C192" s="1" t="s">
        <v>19</v>
      </c>
      <c r="D192" s="1">
        <v>609</v>
      </c>
      <c r="E192" s="11" t="s">
        <v>55</v>
      </c>
      <c r="F192" s="1">
        <v>592</v>
      </c>
      <c r="G192" s="1">
        <v>592</v>
      </c>
      <c r="J192" s="1" t="s">
        <v>12</v>
      </c>
      <c r="K192" s="10">
        <f>SUM(G194:G201,G204:G206)</f>
        <v>2566</v>
      </c>
    </row>
    <row r="193" spans="1:11">
      <c r="A193" s="9">
        <v>46097</v>
      </c>
      <c r="B193" s="1" t="s">
        <v>41</v>
      </c>
      <c r="C193" s="1" t="s">
        <v>19</v>
      </c>
      <c r="D193" s="1">
        <v>818</v>
      </c>
      <c r="E193" s="11" t="s">
        <v>47</v>
      </c>
      <c r="F193" s="1">
        <v>532</v>
      </c>
      <c r="G193" s="1">
        <v>532</v>
      </c>
      <c r="J193" s="1" t="s">
        <v>12</v>
      </c>
      <c r="K193" s="10"/>
    </row>
    <row r="194" spans="1:11">
      <c r="A194" s="9">
        <v>46097</v>
      </c>
      <c r="B194" s="1" t="s">
        <v>41</v>
      </c>
      <c r="C194" s="1" t="s">
        <v>19</v>
      </c>
      <c r="D194" s="1">
        <v>861</v>
      </c>
      <c r="E194" s="11" t="s">
        <v>45</v>
      </c>
      <c r="F194" s="1">
        <v>1296</v>
      </c>
      <c r="G194" s="1">
        <v>1296</v>
      </c>
      <c r="J194" s="1" t="s">
        <v>12</v>
      </c>
      <c r="K194" s="10"/>
    </row>
    <row r="195" spans="1:11">
      <c r="A195" s="9">
        <v>46097</v>
      </c>
      <c r="B195" s="1" t="s">
        <v>41</v>
      </c>
      <c r="C195" s="1" t="s">
        <v>19</v>
      </c>
      <c r="D195" s="1">
        <v>817</v>
      </c>
      <c r="E195" s="11" t="s">
        <v>48</v>
      </c>
      <c r="F195" s="1">
        <v>320</v>
      </c>
      <c r="G195" s="1">
        <v>320</v>
      </c>
      <c r="J195" s="1" t="s">
        <v>12</v>
      </c>
      <c r="K195" s="10"/>
    </row>
    <row r="196" spans="1:11">
      <c r="A196" s="9">
        <v>46097</v>
      </c>
      <c r="B196" s="1" t="s">
        <v>41</v>
      </c>
      <c r="C196" s="1" t="s">
        <v>19</v>
      </c>
      <c r="D196" s="1">
        <v>851</v>
      </c>
      <c r="E196" s="11" t="s">
        <v>21</v>
      </c>
      <c r="F196" s="1">
        <v>8</v>
      </c>
      <c r="G196" s="1">
        <v>8</v>
      </c>
      <c r="J196" s="1" t="s">
        <v>12</v>
      </c>
      <c r="K196" s="10"/>
    </row>
    <row r="197" spans="1:11">
      <c r="A197" s="9">
        <v>46097</v>
      </c>
      <c r="B197" s="1" t="s">
        <v>41</v>
      </c>
      <c r="C197" s="1" t="s">
        <v>19</v>
      </c>
      <c r="D197" s="1">
        <v>859</v>
      </c>
      <c r="E197" s="11" t="s">
        <v>20</v>
      </c>
      <c r="F197" s="1">
        <v>8</v>
      </c>
      <c r="G197" s="1">
        <v>8</v>
      </c>
      <c r="J197" s="1" t="s">
        <v>12</v>
      </c>
      <c r="K197" s="10"/>
    </row>
    <row r="198" spans="1:11">
      <c r="A198" s="9">
        <v>46097</v>
      </c>
      <c r="B198" s="1" t="s">
        <v>41</v>
      </c>
      <c r="C198" s="1" t="s">
        <v>19</v>
      </c>
      <c r="D198" s="1">
        <v>896</v>
      </c>
      <c r="E198" s="11" t="s">
        <v>25</v>
      </c>
      <c r="F198" s="1">
        <v>8</v>
      </c>
      <c r="G198" s="1">
        <v>8</v>
      </c>
      <c r="J198" s="1" t="s">
        <v>12</v>
      </c>
      <c r="K198" s="10"/>
    </row>
    <row r="199" spans="1:11">
      <c r="A199" s="9">
        <v>46097</v>
      </c>
      <c r="B199" s="1" t="s">
        <v>41</v>
      </c>
      <c r="C199" s="1" t="s">
        <v>19</v>
      </c>
      <c r="D199" s="1">
        <v>850</v>
      </c>
      <c r="E199" s="11" t="s">
        <v>56</v>
      </c>
      <c r="F199" s="1">
        <v>8</v>
      </c>
      <c r="G199" s="1">
        <v>8</v>
      </c>
      <c r="J199" s="1" t="s">
        <v>12</v>
      </c>
      <c r="K199" s="10"/>
    </row>
    <row r="200" spans="1:11">
      <c r="A200" s="9">
        <v>46097</v>
      </c>
      <c r="B200" s="1" t="s">
        <v>41</v>
      </c>
      <c r="C200" s="1" t="s">
        <v>19</v>
      </c>
      <c r="D200" s="1">
        <v>853</v>
      </c>
      <c r="E200" s="11" t="s">
        <v>49</v>
      </c>
      <c r="F200" s="1">
        <v>30</v>
      </c>
      <c r="G200" s="1">
        <v>30</v>
      </c>
      <c r="J200" s="1" t="s">
        <v>12</v>
      </c>
      <c r="K200" s="10"/>
    </row>
    <row r="201" spans="1:11">
      <c r="A201" s="9">
        <v>46097</v>
      </c>
      <c r="B201" s="1" t="s">
        <v>41</v>
      </c>
      <c r="C201" s="1" t="s">
        <v>19</v>
      </c>
      <c r="D201" s="1">
        <v>827</v>
      </c>
      <c r="E201" s="11" t="s">
        <v>66</v>
      </c>
      <c r="F201" s="1">
        <v>680</v>
      </c>
      <c r="G201" s="1">
        <v>680</v>
      </c>
      <c r="J201" s="1" t="s">
        <v>12</v>
      </c>
      <c r="K201" s="10"/>
    </row>
    <row r="202" spans="1:11">
      <c r="A202" s="9">
        <v>46097</v>
      </c>
      <c r="B202" s="1" t="s">
        <v>43</v>
      </c>
      <c r="C202" s="1" t="s">
        <v>19</v>
      </c>
      <c r="D202" s="1">
        <v>838</v>
      </c>
      <c r="E202" s="11" t="s">
        <v>63</v>
      </c>
      <c r="F202" s="1">
        <v>456</v>
      </c>
      <c r="G202" s="1">
        <v>456</v>
      </c>
      <c r="J202" s="1" t="s">
        <v>12</v>
      </c>
      <c r="K202" s="10"/>
    </row>
    <row r="203" spans="1:11">
      <c r="A203" s="9">
        <v>46097</v>
      </c>
      <c r="B203" s="1" t="s">
        <v>43</v>
      </c>
      <c r="C203" s="1" t="s">
        <v>19</v>
      </c>
      <c r="D203" s="1">
        <v>835</v>
      </c>
      <c r="E203" s="11" t="s">
        <v>37</v>
      </c>
      <c r="F203" s="1">
        <v>320</v>
      </c>
      <c r="G203" s="1">
        <v>320</v>
      </c>
      <c r="J203" s="1" t="s">
        <v>12</v>
      </c>
      <c r="K203" s="10"/>
    </row>
    <row r="204" spans="1:11">
      <c r="A204" s="9">
        <v>46097</v>
      </c>
      <c r="B204" s="1" t="s">
        <v>43</v>
      </c>
      <c r="C204" s="1" t="s">
        <v>19</v>
      </c>
      <c r="D204" s="1">
        <v>613</v>
      </c>
      <c r="E204" s="11" t="s">
        <v>58</v>
      </c>
      <c r="F204" s="1">
        <v>176</v>
      </c>
      <c r="G204" s="1">
        <v>176</v>
      </c>
      <c r="J204" s="1" t="s">
        <v>12</v>
      </c>
      <c r="K204" s="10"/>
    </row>
    <row r="205" spans="1:11">
      <c r="A205" s="9">
        <v>46097</v>
      </c>
      <c r="B205" s="1" t="s">
        <v>43</v>
      </c>
      <c r="C205" s="1" t="s">
        <v>19</v>
      </c>
      <c r="D205" s="1">
        <v>809</v>
      </c>
      <c r="E205" s="11" t="s">
        <v>36</v>
      </c>
      <c r="F205" s="1">
        <v>20</v>
      </c>
      <c r="G205" s="1">
        <v>20</v>
      </c>
      <c r="J205" s="1" t="s">
        <v>12</v>
      </c>
      <c r="K205" s="10"/>
    </row>
    <row r="206" spans="1:11">
      <c r="A206" s="9">
        <v>46097</v>
      </c>
      <c r="B206" s="1" t="s">
        <v>41</v>
      </c>
      <c r="C206" s="1" t="s">
        <v>19</v>
      </c>
      <c r="D206" s="1">
        <v>865</v>
      </c>
      <c r="E206" s="11" t="s">
        <v>22</v>
      </c>
      <c r="F206" s="1">
        <v>12</v>
      </c>
      <c r="G206" s="1">
        <v>12</v>
      </c>
      <c r="J206" s="1" t="s">
        <v>12</v>
      </c>
      <c r="K206" s="10"/>
    </row>
    <row r="207" spans="1:11">
      <c r="A207" s="9">
        <v>46098</v>
      </c>
      <c r="B207" s="1" t="s">
        <v>41</v>
      </c>
      <c r="C207" s="1" t="s">
        <v>19</v>
      </c>
      <c r="D207" s="1">
        <v>880</v>
      </c>
      <c r="E207" s="11" t="s">
        <v>24</v>
      </c>
      <c r="F207" s="1">
        <v>676</v>
      </c>
      <c r="G207" s="1">
        <v>676</v>
      </c>
      <c r="J207" s="1" t="s">
        <v>12</v>
      </c>
      <c r="K207" s="10">
        <f>SUM(G208,G210:G221)</f>
        <v>3824</v>
      </c>
    </row>
    <row r="208" spans="1:11">
      <c r="A208" s="9">
        <v>46098</v>
      </c>
      <c r="B208" s="1" t="s">
        <v>43</v>
      </c>
      <c r="C208" s="1" t="s">
        <v>19</v>
      </c>
      <c r="D208" s="1">
        <v>809</v>
      </c>
      <c r="E208" s="11" t="s">
        <v>36</v>
      </c>
      <c r="F208" s="1">
        <v>280</v>
      </c>
      <c r="G208" s="1">
        <v>280</v>
      </c>
      <c r="J208" s="1" t="s">
        <v>12</v>
      </c>
      <c r="K208" s="10"/>
    </row>
    <row r="209" spans="1:11">
      <c r="A209" s="9">
        <v>46098</v>
      </c>
      <c r="B209" s="1" t="s">
        <v>42</v>
      </c>
      <c r="C209" s="1" t="s">
        <v>19</v>
      </c>
      <c r="D209" s="1">
        <v>855</v>
      </c>
      <c r="E209" s="11" t="s">
        <v>67</v>
      </c>
      <c r="F209" s="1">
        <v>156</v>
      </c>
      <c r="G209" s="1">
        <v>156</v>
      </c>
      <c r="J209" s="1" t="s">
        <v>12</v>
      </c>
      <c r="K209" s="10"/>
    </row>
    <row r="210" spans="1:11">
      <c r="A210" s="9">
        <v>46098</v>
      </c>
      <c r="B210" s="1" t="s">
        <v>41</v>
      </c>
      <c r="C210" s="1" t="s">
        <v>19</v>
      </c>
      <c r="D210" s="1">
        <v>609</v>
      </c>
      <c r="E210" s="11" t="s">
        <v>55</v>
      </c>
      <c r="F210" s="1">
        <v>672</v>
      </c>
      <c r="G210" s="1">
        <v>672</v>
      </c>
      <c r="J210" s="1" t="s">
        <v>12</v>
      </c>
      <c r="K210" s="10"/>
    </row>
    <row r="211" spans="1:11">
      <c r="A211" s="9">
        <v>46098</v>
      </c>
      <c r="B211" s="1" t="s">
        <v>41</v>
      </c>
      <c r="C211" s="1" t="s">
        <v>19</v>
      </c>
      <c r="D211" s="1">
        <v>817</v>
      </c>
      <c r="E211" s="11" t="s">
        <v>48</v>
      </c>
      <c r="F211" s="1">
        <v>546</v>
      </c>
      <c r="G211" s="1">
        <v>546</v>
      </c>
      <c r="J211" s="1" t="s">
        <v>12</v>
      </c>
      <c r="K211" s="10"/>
    </row>
    <row r="212" spans="1:11">
      <c r="A212" s="9">
        <v>46098</v>
      </c>
      <c r="B212" s="1" t="s">
        <v>41</v>
      </c>
      <c r="C212" s="1" t="s">
        <v>19</v>
      </c>
      <c r="D212" s="1">
        <v>853</v>
      </c>
      <c r="E212" s="11" t="s">
        <v>49</v>
      </c>
      <c r="F212" s="1">
        <v>378</v>
      </c>
      <c r="G212" s="1">
        <v>378</v>
      </c>
      <c r="J212" s="1" t="s">
        <v>12</v>
      </c>
      <c r="K212" s="10"/>
    </row>
    <row r="213" spans="1:11">
      <c r="A213" s="9">
        <v>46098</v>
      </c>
      <c r="B213" s="1" t="s">
        <v>41</v>
      </c>
      <c r="C213" s="1" t="s">
        <v>19</v>
      </c>
      <c r="D213" s="1">
        <v>820</v>
      </c>
      <c r="E213" s="11" t="s">
        <v>51</v>
      </c>
      <c r="F213" s="1">
        <v>90</v>
      </c>
      <c r="G213" s="1">
        <v>90</v>
      </c>
      <c r="J213" s="1" t="s">
        <v>12</v>
      </c>
      <c r="K213" s="10"/>
    </row>
    <row r="214" spans="1:11">
      <c r="A214" s="9">
        <v>46098</v>
      </c>
      <c r="B214" s="1" t="s">
        <v>41</v>
      </c>
      <c r="C214" s="1" t="s">
        <v>19</v>
      </c>
      <c r="D214" s="1">
        <v>861</v>
      </c>
      <c r="E214" s="11" t="s">
        <v>45</v>
      </c>
      <c r="F214" s="1">
        <v>486</v>
      </c>
      <c r="G214" s="1">
        <v>486</v>
      </c>
      <c r="J214" s="1" t="s">
        <v>12</v>
      </c>
      <c r="K214" s="10"/>
    </row>
    <row r="215" spans="1:11">
      <c r="A215" s="9">
        <v>46098</v>
      </c>
      <c r="B215" s="1" t="s">
        <v>41</v>
      </c>
      <c r="C215" s="1" t="s">
        <v>19</v>
      </c>
      <c r="D215" s="1">
        <v>867</v>
      </c>
      <c r="E215" s="11" t="s">
        <v>65</v>
      </c>
      <c r="F215" s="1">
        <v>249</v>
      </c>
      <c r="G215" s="1">
        <v>249</v>
      </c>
      <c r="J215" s="1" t="s">
        <v>12</v>
      </c>
      <c r="K215" s="10"/>
    </row>
    <row r="216" spans="1:11">
      <c r="A216" s="9">
        <v>46098</v>
      </c>
      <c r="B216" s="1" t="s">
        <v>41</v>
      </c>
      <c r="C216" s="1" t="s">
        <v>19</v>
      </c>
      <c r="D216" s="1">
        <v>858</v>
      </c>
      <c r="E216" s="11" t="s">
        <v>57</v>
      </c>
      <c r="F216" s="1">
        <v>141</v>
      </c>
      <c r="G216" s="1">
        <v>141</v>
      </c>
      <c r="J216" s="1" t="s">
        <v>12</v>
      </c>
      <c r="K216" s="10"/>
    </row>
    <row r="217" spans="1:11">
      <c r="A217" s="9">
        <v>46098</v>
      </c>
      <c r="B217" s="1" t="s">
        <v>42</v>
      </c>
      <c r="C217" s="1" t="s">
        <v>19</v>
      </c>
      <c r="D217" s="1">
        <v>9875</v>
      </c>
      <c r="E217" s="11" t="s">
        <v>62</v>
      </c>
      <c r="F217" s="1">
        <v>280</v>
      </c>
      <c r="G217" s="1">
        <v>280</v>
      </c>
      <c r="J217" s="1" t="s">
        <v>12</v>
      </c>
      <c r="K217" s="10"/>
    </row>
    <row r="218" spans="1:11">
      <c r="A218" s="9">
        <v>46098</v>
      </c>
      <c r="B218" s="1" t="s">
        <v>42</v>
      </c>
      <c r="C218" s="1" t="s">
        <v>19</v>
      </c>
      <c r="D218" s="1">
        <v>856</v>
      </c>
      <c r="E218" s="11" t="s">
        <v>54</v>
      </c>
      <c r="F218" s="1">
        <v>2</v>
      </c>
      <c r="G218" s="1">
        <v>2</v>
      </c>
      <c r="J218" s="1" t="s">
        <v>12</v>
      </c>
      <c r="K218" s="10"/>
    </row>
    <row r="219" spans="1:11">
      <c r="A219" s="9">
        <v>46098</v>
      </c>
      <c r="B219" s="1" t="s">
        <v>43</v>
      </c>
      <c r="C219" s="1" t="s">
        <v>19</v>
      </c>
      <c r="D219" s="1">
        <v>838</v>
      </c>
      <c r="E219" s="11" t="s">
        <v>63</v>
      </c>
      <c r="F219" s="1">
        <v>348</v>
      </c>
      <c r="G219" s="1">
        <v>348</v>
      </c>
      <c r="J219" s="1" t="s">
        <v>12</v>
      </c>
      <c r="K219" s="10"/>
    </row>
    <row r="220" spans="1:11">
      <c r="A220" s="9">
        <v>46098</v>
      </c>
      <c r="B220" s="1" t="s">
        <v>41</v>
      </c>
      <c r="C220" s="1" t="s">
        <v>19</v>
      </c>
      <c r="D220" s="1">
        <v>609</v>
      </c>
      <c r="E220" s="11" t="s">
        <v>55</v>
      </c>
      <c r="F220" s="1">
        <v>244</v>
      </c>
      <c r="G220" s="1">
        <v>244</v>
      </c>
      <c r="J220" s="1" t="s">
        <v>12</v>
      </c>
      <c r="K220" s="10"/>
    </row>
    <row r="221" spans="1:11">
      <c r="A221" s="9">
        <v>46098</v>
      </c>
      <c r="B221" s="1" t="s">
        <v>41</v>
      </c>
      <c r="C221" s="1" t="s">
        <v>19</v>
      </c>
      <c r="D221" s="1">
        <v>863</v>
      </c>
      <c r="E221" s="11" t="s">
        <v>46</v>
      </c>
      <c r="F221" s="1">
        <v>108</v>
      </c>
      <c r="G221" s="1">
        <v>108</v>
      </c>
      <c r="J221" s="1" t="s">
        <v>12</v>
      </c>
      <c r="K221" s="10"/>
    </row>
    <row r="222" spans="1:11">
      <c r="A222" s="9">
        <v>46099</v>
      </c>
      <c r="B222" s="1" t="s">
        <v>42</v>
      </c>
      <c r="C222" s="1" t="s">
        <v>19</v>
      </c>
      <c r="D222" s="1">
        <v>875</v>
      </c>
      <c r="E222" s="11" t="s">
        <v>52</v>
      </c>
      <c r="F222" s="1">
        <v>280</v>
      </c>
      <c r="G222" s="1">
        <v>280</v>
      </c>
      <c r="J222" s="1" t="s">
        <v>12</v>
      </c>
      <c r="K222" s="10">
        <f>SUM(G222:G232)</f>
        <v>3665</v>
      </c>
    </row>
    <row r="223" spans="1:11">
      <c r="A223" s="9">
        <v>46099</v>
      </c>
      <c r="B223" s="1" t="s">
        <v>42</v>
      </c>
      <c r="C223" s="1" t="s">
        <v>19</v>
      </c>
      <c r="D223" s="1">
        <v>856</v>
      </c>
      <c r="E223" s="11" t="s">
        <v>54</v>
      </c>
      <c r="F223" s="1">
        <v>284</v>
      </c>
      <c r="G223" s="1">
        <v>284</v>
      </c>
      <c r="J223" s="1" t="s">
        <v>12</v>
      </c>
      <c r="K223" s="10"/>
    </row>
    <row r="224" spans="1:11">
      <c r="A224" s="9">
        <v>46099</v>
      </c>
      <c r="B224" s="1" t="s">
        <v>41</v>
      </c>
      <c r="C224" s="1" t="s">
        <v>19</v>
      </c>
      <c r="D224" s="1">
        <v>827</v>
      </c>
      <c r="E224" s="11" t="s">
        <v>66</v>
      </c>
      <c r="F224" s="1">
        <v>452</v>
      </c>
      <c r="G224" s="1">
        <v>452</v>
      </c>
      <c r="J224" s="1" t="s">
        <v>12</v>
      </c>
      <c r="K224" s="10"/>
    </row>
    <row r="225" spans="1:11">
      <c r="A225" s="9">
        <v>46099</v>
      </c>
      <c r="B225" s="1" t="s">
        <v>41</v>
      </c>
      <c r="C225" s="1" t="s">
        <v>19</v>
      </c>
      <c r="D225" s="1">
        <v>896</v>
      </c>
      <c r="E225" s="11" t="s">
        <v>25</v>
      </c>
      <c r="F225" s="1">
        <v>354</v>
      </c>
      <c r="G225" s="1">
        <v>354</v>
      </c>
      <c r="J225" s="1" t="s">
        <v>12</v>
      </c>
      <c r="K225" s="10"/>
    </row>
    <row r="226" spans="1:11">
      <c r="A226" s="9">
        <v>46099</v>
      </c>
      <c r="B226" s="1" t="s">
        <v>43</v>
      </c>
      <c r="C226" s="1" t="s">
        <v>19</v>
      </c>
      <c r="D226" s="1">
        <v>809</v>
      </c>
      <c r="E226" s="11" t="s">
        <v>36</v>
      </c>
      <c r="F226" s="1">
        <v>378</v>
      </c>
      <c r="G226" s="1">
        <v>378</v>
      </c>
      <c r="J226" s="1" t="s">
        <v>12</v>
      </c>
      <c r="K226" s="10"/>
    </row>
    <row r="227" spans="1:11">
      <c r="A227" s="9">
        <v>46099</v>
      </c>
      <c r="B227" s="1" t="s">
        <v>43</v>
      </c>
      <c r="C227" s="1" t="s">
        <v>19</v>
      </c>
      <c r="D227" s="1">
        <v>838</v>
      </c>
      <c r="E227" s="11" t="s">
        <v>63</v>
      </c>
      <c r="F227" s="1">
        <v>378</v>
      </c>
      <c r="G227" s="1">
        <v>378</v>
      </c>
      <c r="J227" s="1" t="s">
        <v>12</v>
      </c>
      <c r="K227" s="10"/>
    </row>
    <row r="228" spans="1:11">
      <c r="A228" s="9">
        <v>46099</v>
      </c>
      <c r="B228" s="1" t="s">
        <v>42</v>
      </c>
      <c r="C228" s="1" t="s">
        <v>19</v>
      </c>
      <c r="D228" s="1">
        <v>856</v>
      </c>
      <c r="E228" s="11" t="s">
        <v>54</v>
      </c>
      <c r="F228" s="1">
        <v>288</v>
      </c>
      <c r="G228" s="1">
        <v>288</v>
      </c>
      <c r="J228" s="1" t="s">
        <v>12</v>
      </c>
      <c r="K228" s="10"/>
    </row>
    <row r="229" spans="1:11">
      <c r="A229" s="9">
        <v>46099</v>
      </c>
      <c r="B229" s="1" t="s">
        <v>41</v>
      </c>
      <c r="C229" s="1" t="s">
        <v>19</v>
      </c>
      <c r="D229" s="1">
        <v>818</v>
      </c>
      <c r="E229" s="11" t="s">
        <v>47</v>
      </c>
      <c r="F229" s="1">
        <v>393</v>
      </c>
      <c r="G229" s="1">
        <v>393</v>
      </c>
      <c r="J229" s="1" t="s">
        <v>12</v>
      </c>
      <c r="K229" s="10"/>
    </row>
    <row r="230" spans="1:11">
      <c r="A230" s="9">
        <v>46099</v>
      </c>
      <c r="B230" s="1" t="s">
        <v>41</v>
      </c>
      <c r="C230" s="1" t="s">
        <v>19</v>
      </c>
      <c r="D230" s="1">
        <v>865</v>
      </c>
      <c r="E230" s="11" t="s">
        <v>22</v>
      </c>
      <c r="F230" s="1">
        <v>393</v>
      </c>
      <c r="G230" s="1">
        <v>393</v>
      </c>
      <c r="J230" s="1" t="s">
        <v>12</v>
      </c>
      <c r="K230" s="10"/>
    </row>
    <row r="231" spans="1:11">
      <c r="A231" s="9">
        <v>46099</v>
      </c>
      <c r="B231" s="1" t="s">
        <v>41</v>
      </c>
      <c r="C231" s="1" t="s">
        <v>19</v>
      </c>
      <c r="D231" s="1">
        <v>861</v>
      </c>
      <c r="E231" s="11" t="s">
        <v>45</v>
      </c>
      <c r="F231" s="1">
        <v>393</v>
      </c>
      <c r="G231" s="1">
        <v>393</v>
      </c>
      <c r="J231" s="1" t="s">
        <v>12</v>
      </c>
      <c r="K231" s="10"/>
    </row>
    <row r="232" spans="1:11">
      <c r="A232" s="9">
        <v>46099</v>
      </c>
      <c r="B232" s="1" t="s">
        <v>41</v>
      </c>
      <c r="C232" s="1" t="s">
        <v>19</v>
      </c>
      <c r="D232" s="1">
        <v>863</v>
      </c>
      <c r="E232" s="11" t="s">
        <v>46</v>
      </c>
      <c r="F232" s="1">
        <v>72</v>
      </c>
      <c r="G232" s="1">
        <v>72</v>
      </c>
      <c r="J232" s="1" t="s">
        <v>12</v>
      </c>
      <c r="K232" s="10"/>
    </row>
    <row r="233" spans="1:11">
      <c r="A233" s="9">
        <v>46099</v>
      </c>
      <c r="B233" s="1" t="s">
        <v>43</v>
      </c>
      <c r="C233" s="1" t="s">
        <v>19</v>
      </c>
      <c r="D233" s="1">
        <v>857</v>
      </c>
      <c r="E233" s="11" t="s">
        <v>60</v>
      </c>
      <c r="F233" s="1">
        <v>516</v>
      </c>
      <c r="G233" s="1">
        <v>516</v>
      </c>
      <c r="J233" s="1" t="s">
        <v>12</v>
      </c>
      <c r="K233" s="10"/>
    </row>
    <row r="234" spans="1:11">
      <c r="A234" s="9">
        <v>46099</v>
      </c>
      <c r="B234" s="1" t="s">
        <v>43</v>
      </c>
      <c r="C234" s="1" t="s">
        <v>19</v>
      </c>
      <c r="D234" s="1">
        <v>613</v>
      </c>
      <c r="E234" s="11" t="s">
        <v>58</v>
      </c>
      <c r="F234" s="1">
        <v>348</v>
      </c>
      <c r="G234" s="1">
        <v>348</v>
      </c>
      <c r="J234" s="1" t="s">
        <v>12</v>
      </c>
      <c r="K234" s="10"/>
    </row>
    <row r="235" spans="1:11">
      <c r="A235" s="9">
        <v>46100</v>
      </c>
      <c r="B235" s="1" t="s">
        <v>43</v>
      </c>
      <c r="C235" s="1" t="s">
        <v>19</v>
      </c>
      <c r="D235" s="1">
        <v>838</v>
      </c>
      <c r="E235" s="11" t="s">
        <v>63</v>
      </c>
      <c r="F235" s="1">
        <v>552</v>
      </c>
      <c r="G235" s="1">
        <v>552</v>
      </c>
      <c r="J235" s="1" t="s">
        <v>12</v>
      </c>
      <c r="K235" s="10">
        <f>SUM(G235,G238:G240,G242:G244,G247)</f>
        <v>3700</v>
      </c>
    </row>
    <row r="236" spans="1:11">
      <c r="A236" s="9">
        <v>46100</v>
      </c>
      <c r="B236" s="1" t="s">
        <v>41</v>
      </c>
      <c r="C236" s="1" t="s">
        <v>19</v>
      </c>
      <c r="D236" s="1">
        <v>818</v>
      </c>
      <c r="E236" s="11" t="s">
        <v>47</v>
      </c>
      <c r="F236" s="1">
        <v>1032</v>
      </c>
      <c r="G236" s="1">
        <v>1032</v>
      </c>
      <c r="J236" s="1" t="s">
        <v>12</v>
      </c>
      <c r="K236" s="10"/>
    </row>
    <row r="237" spans="1:11">
      <c r="A237" s="9">
        <v>46100</v>
      </c>
      <c r="B237" s="1" t="s">
        <v>41</v>
      </c>
      <c r="C237" s="1" t="s">
        <v>19</v>
      </c>
      <c r="D237" s="1">
        <v>861</v>
      </c>
      <c r="E237" s="11" t="s">
        <v>45</v>
      </c>
      <c r="F237" s="1">
        <v>732</v>
      </c>
      <c r="G237" s="1">
        <v>732</v>
      </c>
      <c r="J237" s="1" t="s">
        <v>12</v>
      </c>
      <c r="K237" s="10"/>
    </row>
    <row r="238" spans="1:11">
      <c r="A238" s="9">
        <v>46100</v>
      </c>
      <c r="B238" s="1" t="s">
        <v>41</v>
      </c>
      <c r="C238" s="1" t="s">
        <v>19</v>
      </c>
      <c r="D238" s="1">
        <v>840</v>
      </c>
      <c r="E238" s="11" t="s">
        <v>35</v>
      </c>
      <c r="F238" s="1">
        <v>548</v>
      </c>
      <c r="G238" s="1">
        <v>548</v>
      </c>
      <c r="J238" s="1" t="s">
        <v>12</v>
      </c>
      <c r="K238" s="10"/>
    </row>
    <row r="239" spans="1:11">
      <c r="A239" s="9">
        <v>46100</v>
      </c>
      <c r="B239" s="1" t="s">
        <v>41</v>
      </c>
      <c r="C239" s="1" t="s">
        <v>19</v>
      </c>
      <c r="D239" s="1">
        <v>865</v>
      </c>
      <c r="E239" s="11" t="s">
        <v>22</v>
      </c>
      <c r="F239" s="1">
        <v>996</v>
      </c>
      <c r="G239" s="1">
        <v>996</v>
      </c>
      <c r="J239" s="1" t="s">
        <v>12</v>
      </c>
      <c r="K239" s="10"/>
    </row>
    <row r="240" spans="1:11">
      <c r="A240" s="9">
        <v>46100</v>
      </c>
      <c r="B240" s="1" t="s">
        <v>42</v>
      </c>
      <c r="C240" s="1" t="s">
        <v>19</v>
      </c>
      <c r="D240" s="1">
        <v>856</v>
      </c>
      <c r="E240" s="11" t="s">
        <v>54</v>
      </c>
      <c r="F240" s="1">
        <v>264</v>
      </c>
      <c r="G240" s="1">
        <v>264</v>
      </c>
      <c r="J240" s="1" t="s">
        <v>12</v>
      </c>
      <c r="K240" s="10"/>
    </row>
    <row r="241" spans="1:11">
      <c r="A241" s="9">
        <v>46100</v>
      </c>
      <c r="B241" s="1" t="s">
        <v>41</v>
      </c>
      <c r="C241" s="1" t="s">
        <v>19</v>
      </c>
      <c r="D241" s="1">
        <v>859</v>
      </c>
      <c r="E241" s="11" t="s">
        <v>20</v>
      </c>
      <c r="F241" s="1">
        <v>708</v>
      </c>
      <c r="G241" s="1">
        <v>708</v>
      </c>
      <c r="J241" s="1" t="s">
        <v>12</v>
      </c>
      <c r="K241" s="10"/>
    </row>
    <row r="242" spans="1:11">
      <c r="A242" s="9">
        <v>46100</v>
      </c>
      <c r="B242" s="1" t="s">
        <v>41</v>
      </c>
      <c r="C242" s="1" t="s">
        <v>19</v>
      </c>
      <c r="D242" s="1">
        <v>853</v>
      </c>
      <c r="E242" s="11" t="s">
        <v>49</v>
      </c>
      <c r="F242" s="1">
        <v>450</v>
      </c>
      <c r="G242" s="1">
        <v>450</v>
      </c>
      <c r="J242" s="1" t="s">
        <v>12</v>
      </c>
      <c r="K242" s="10"/>
    </row>
    <row r="243" spans="1:11">
      <c r="A243" s="9">
        <v>46100</v>
      </c>
      <c r="B243" s="1" t="s">
        <v>41</v>
      </c>
      <c r="C243" s="1" t="s">
        <v>19</v>
      </c>
      <c r="D243" s="1">
        <v>867</v>
      </c>
      <c r="E243" s="11" t="s">
        <v>65</v>
      </c>
      <c r="F243" s="1">
        <v>460</v>
      </c>
      <c r="G243" s="1">
        <v>460</v>
      </c>
      <c r="J243" s="1" t="s">
        <v>12</v>
      </c>
      <c r="K243" s="10"/>
    </row>
    <row r="244" spans="1:11">
      <c r="A244" s="9">
        <v>46100</v>
      </c>
      <c r="B244" s="1" t="s">
        <v>41</v>
      </c>
      <c r="C244" s="1" t="s">
        <v>19</v>
      </c>
      <c r="D244" s="1">
        <v>880</v>
      </c>
      <c r="E244" s="11" t="s">
        <v>24</v>
      </c>
      <c r="F244" s="1">
        <v>380</v>
      </c>
      <c r="G244" s="1">
        <v>380</v>
      </c>
      <c r="J244" s="1" t="s">
        <v>12</v>
      </c>
      <c r="K244" s="10"/>
    </row>
    <row r="245" spans="1:11">
      <c r="A245" s="9">
        <v>46100</v>
      </c>
      <c r="B245" s="1" t="s">
        <v>41</v>
      </c>
      <c r="C245" s="1" t="s">
        <v>19</v>
      </c>
      <c r="D245" s="1">
        <v>861</v>
      </c>
      <c r="E245" s="11" t="s">
        <v>45</v>
      </c>
      <c r="F245" s="1">
        <v>856</v>
      </c>
      <c r="G245" s="1">
        <v>856</v>
      </c>
      <c r="J245" s="1" t="s">
        <v>12</v>
      </c>
      <c r="K245" s="10"/>
    </row>
    <row r="246" spans="1:11">
      <c r="A246" s="9">
        <v>46100</v>
      </c>
      <c r="B246" s="1" t="s">
        <v>41</v>
      </c>
      <c r="C246" s="1" t="s">
        <v>19</v>
      </c>
      <c r="D246" s="1">
        <v>827</v>
      </c>
      <c r="E246" s="11" t="s">
        <v>66</v>
      </c>
      <c r="F246" s="1">
        <v>600</v>
      </c>
      <c r="G246" s="1">
        <v>600</v>
      </c>
      <c r="J246" s="1" t="s">
        <v>12</v>
      </c>
      <c r="K246" s="10"/>
    </row>
    <row r="247" customFormat="1" spans="1:11">
      <c r="A247" s="9">
        <v>46100</v>
      </c>
      <c r="B247" s="1" t="s">
        <v>43</v>
      </c>
      <c r="C247" s="1" t="s">
        <v>19</v>
      </c>
      <c r="D247" s="1">
        <v>809</v>
      </c>
      <c r="E247" s="11" t="s">
        <v>36</v>
      </c>
      <c r="F247" s="1">
        <v>50</v>
      </c>
      <c r="G247" s="1">
        <v>50</v>
      </c>
      <c r="J247" s="1" t="s">
        <v>12</v>
      </c>
      <c r="K247" s="10"/>
    </row>
    <row r="248" spans="1:11">
      <c r="A248" s="9">
        <v>46101</v>
      </c>
      <c r="B248" s="1" t="s">
        <v>42</v>
      </c>
      <c r="C248" s="1" t="s">
        <v>19</v>
      </c>
      <c r="D248" s="1">
        <v>856</v>
      </c>
      <c r="E248" s="11" t="s">
        <v>54</v>
      </c>
      <c r="F248" s="1">
        <v>1432</v>
      </c>
      <c r="G248" s="1">
        <v>1432</v>
      </c>
      <c r="J248" s="1" t="s">
        <v>12</v>
      </c>
      <c r="K248" s="10">
        <f>SUM(G248:G255)</f>
        <v>4176</v>
      </c>
    </row>
    <row r="249" spans="1:11">
      <c r="A249" s="9">
        <v>46101</v>
      </c>
      <c r="B249" s="1" t="s">
        <v>42</v>
      </c>
      <c r="C249" s="1" t="s">
        <v>19</v>
      </c>
      <c r="D249" s="1">
        <v>807</v>
      </c>
      <c r="E249" s="11" t="s">
        <v>53</v>
      </c>
      <c r="F249" s="1">
        <v>9</v>
      </c>
      <c r="G249" s="1">
        <v>9</v>
      </c>
      <c r="J249" s="1" t="s">
        <v>12</v>
      </c>
      <c r="K249" s="10"/>
    </row>
    <row r="250" spans="1:11">
      <c r="A250" s="9">
        <v>46101</v>
      </c>
      <c r="B250" s="1" t="s">
        <v>42</v>
      </c>
      <c r="C250" s="1" t="s">
        <v>19</v>
      </c>
      <c r="D250" s="1">
        <v>875</v>
      </c>
      <c r="E250" s="11" t="s">
        <v>52</v>
      </c>
      <c r="F250" s="1">
        <v>24</v>
      </c>
      <c r="G250" s="1">
        <v>24</v>
      </c>
      <c r="J250" s="1" t="s">
        <v>12</v>
      </c>
      <c r="K250" s="10"/>
    </row>
    <row r="251" spans="1:11">
      <c r="A251" s="9">
        <v>46101</v>
      </c>
      <c r="B251" s="1" t="s">
        <v>41</v>
      </c>
      <c r="C251" s="1" t="s">
        <v>19</v>
      </c>
      <c r="D251" s="1">
        <v>863</v>
      </c>
      <c r="E251" s="11" t="s">
        <v>46</v>
      </c>
      <c r="F251" s="1">
        <v>472</v>
      </c>
      <c r="G251" s="1">
        <v>472</v>
      </c>
      <c r="J251" s="1" t="s">
        <v>12</v>
      </c>
      <c r="K251" s="10"/>
    </row>
    <row r="252" spans="1:11">
      <c r="A252" s="9">
        <v>46101</v>
      </c>
      <c r="B252" s="1" t="s">
        <v>41</v>
      </c>
      <c r="C252" s="1" t="s">
        <v>19</v>
      </c>
      <c r="D252" s="1">
        <v>818</v>
      </c>
      <c r="E252" s="11" t="s">
        <v>47</v>
      </c>
      <c r="F252" s="1">
        <v>27</v>
      </c>
      <c r="G252" s="1">
        <v>27</v>
      </c>
      <c r="J252" s="1" t="s">
        <v>12</v>
      </c>
      <c r="K252" s="10"/>
    </row>
    <row r="253" spans="1:11">
      <c r="A253" s="9">
        <v>46101</v>
      </c>
      <c r="B253" s="1" t="s">
        <v>41</v>
      </c>
      <c r="C253" s="1" t="s">
        <v>19</v>
      </c>
      <c r="D253" s="1">
        <v>851</v>
      </c>
      <c r="E253" s="11" t="s">
        <v>21</v>
      </c>
      <c r="F253" s="1">
        <v>780</v>
      </c>
      <c r="G253" s="1">
        <v>780</v>
      </c>
      <c r="J253" s="1" t="s">
        <v>12</v>
      </c>
      <c r="K253" s="10"/>
    </row>
    <row r="254" spans="1:11">
      <c r="A254" s="9">
        <v>46101</v>
      </c>
      <c r="B254" s="1" t="s">
        <v>41</v>
      </c>
      <c r="C254" s="1" t="s">
        <v>19</v>
      </c>
      <c r="D254" s="1">
        <v>853</v>
      </c>
      <c r="E254" s="11" t="s">
        <v>49</v>
      </c>
      <c r="F254" s="1">
        <v>1217</v>
      </c>
      <c r="G254" s="1">
        <v>1217</v>
      </c>
      <c r="J254" s="1" t="s">
        <v>12</v>
      </c>
      <c r="K254" s="10"/>
    </row>
    <row r="255" spans="1:11">
      <c r="A255" s="9">
        <v>46101</v>
      </c>
      <c r="B255" s="1" t="s">
        <v>41</v>
      </c>
      <c r="C255" s="1" t="s">
        <v>19</v>
      </c>
      <c r="D255" s="1">
        <v>859</v>
      </c>
      <c r="E255" s="11" t="s">
        <v>20</v>
      </c>
      <c r="F255" s="1">
        <v>215</v>
      </c>
      <c r="G255" s="1">
        <v>215</v>
      </c>
      <c r="J255" s="1" t="s">
        <v>12</v>
      </c>
      <c r="K255" s="10"/>
    </row>
    <row r="256" spans="1:11">
      <c r="A256" s="9">
        <v>46101</v>
      </c>
      <c r="B256" s="1" t="s">
        <v>41</v>
      </c>
      <c r="C256" s="1" t="s">
        <v>19</v>
      </c>
      <c r="D256" s="1">
        <v>865</v>
      </c>
      <c r="E256" s="11" t="s">
        <v>22</v>
      </c>
      <c r="F256" s="1">
        <v>2016</v>
      </c>
      <c r="G256" s="1">
        <v>2016</v>
      </c>
      <c r="J256" s="1" t="s">
        <v>12</v>
      </c>
      <c r="K256" s="10"/>
    </row>
    <row r="257" spans="1:11">
      <c r="A257" s="9">
        <v>46101</v>
      </c>
      <c r="B257" s="1" t="s">
        <v>43</v>
      </c>
      <c r="C257" s="1" t="s">
        <v>19</v>
      </c>
      <c r="D257" s="1">
        <v>835</v>
      </c>
      <c r="E257" s="11" t="s">
        <v>37</v>
      </c>
      <c r="F257" s="1">
        <v>1104</v>
      </c>
      <c r="G257" s="1">
        <v>1104</v>
      </c>
      <c r="J257" s="1" t="s">
        <v>12</v>
      </c>
      <c r="K257" s="10"/>
    </row>
    <row r="258" spans="1:11">
      <c r="A258" s="9">
        <v>46101</v>
      </c>
      <c r="B258" s="1" t="s">
        <v>43</v>
      </c>
      <c r="C258" s="1" t="s">
        <v>19</v>
      </c>
      <c r="D258" s="1">
        <v>838</v>
      </c>
      <c r="E258" s="11" t="s">
        <v>63</v>
      </c>
      <c r="F258" s="1">
        <v>780</v>
      </c>
      <c r="G258" s="1">
        <v>780</v>
      </c>
      <c r="J258" s="1" t="s">
        <v>12</v>
      </c>
      <c r="K258" s="10"/>
    </row>
    <row r="259" spans="1:11">
      <c r="A259" s="9">
        <v>46102</v>
      </c>
      <c r="B259" s="1" t="s">
        <v>42</v>
      </c>
      <c r="C259" s="1" t="s">
        <v>19</v>
      </c>
      <c r="D259" s="1">
        <v>875</v>
      </c>
      <c r="E259" s="11" t="s">
        <v>52</v>
      </c>
      <c r="F259" s="1">
        <v>740</v>
      </c>
      <c r="G259" s="1">
        <v>740</v>
      </c>
      <c r="J259" s="1" t="s">
        <v>12</v>
      </c>
      <c r="K259" s="10">
        <f>SUM(G259,G261:G269)</f>
        <v>3358</v>
      </c>
    </row>
    <row r="260" spans="1:11">
      <c r="A260" s="9">
        <v>46102</v>
      </c>
      <c r="B260" s="1" t="s">
        <v>42</v>
      </c>
      <c r="C260" s="1" t="s">
        <v>19</v>
      </c>
      <c r="D260" s="1">
        <v>856</v>
      </c>
      <c r="E260" s="11" t="s">
        <v>54</v>
      </c>
      <c r="F260" s="1">
        <v>484</v>
      </c>
      <c r="G260" s="1">
        <v>484</v>
      </c>
      <c r="J260" s="1" t="s">
        <v>12</v>
      </c>
      <c r="K260" s="10"/>
    </row>
    <row r="261" spans="1:11">
      <c r="A261" s="9">
        <v>46102</v>
      </c>
      <c r="B261" s="1" t="s">
        <v>41</v>
      </c>
      <c r="C261" s="1" t="s">
        <v>19</v>
      </c>
      <c r="D261" s="1">
        <v>861</v>
      </c>
      <c r="E261" s="11" t="s">
        <v>45</v>
      </c>
      <c r="F261" s="1">
        <v>1168</v>
      </c>
      <c r="G261" s="1">
        <v>1168</v>
      </c>
      <c r="J261" s="1" t="s">
        <v>12</v>
      </c>
      <c r="K261" s="10"/>
    </row>
    <row r="262" spans="1:11">
      <c r="A262" s="9">
        <v>46102</v>
      </c>
      <c r="B262" s="1" t="s">
        <v>41</v>
      </c>
      <c r="C262" s="1" t="s">
        <v>19</v>
      </c>
      <c r="D262" s="1">
        <v>810</v>
      </c>
      <c r="E262" s="11" t="s">
        <v>50</v>
      </c>
      <c r="F262" s="1">
        <v>8</v>
      </c>
      <c r="G262" s="1">
        <v>8</v>
      </c>
      <c r="J262" s="1" t="s">
        <v>12</v>
      </c>
      <c r="K262" s="10"/>
    </row>
    <row r="263" spans="1:11">
      <c r="A263" s="9">
        <v>46102</v>
      </c>
      <c r="B263" s="1" t="s">
        <v>41</v>
      </c>
      <c r="C263" s="1" t="s">
        <v>19</v>
      </c>
      <c r="D263" s="1">
        <v>820</v>
      </c>
      <c r="E263" s="11" t="s">
        <v>51</v>
      </c>
      <c r="F263" s="1">
        <v>236</v>
      </c>
      <c r="G263" s="1">
        <v>236</v>
      </c>
      <c r="J263" s="1" t="s">
        <v>12</v>
      </c>
      <c r="K263" s="10"/>
    </row>
    <row r="264" spans="1:11">
      <c r="A264" s="9">
        <v>46102</v>
      </c>
      <c r="B264" s="1" t="s">
        <v>41</v>
      </c>
      <c r="C264" s="1" t="s">
        <v>19</v>
      </c>
      <c r="D264" s="1">
        <v>817</v>
      </c>
      <c r="E264" s="11" t="s">
        <v>48</v>
      </c>
      <c r="F264" s="1">
        <v>8</v>
      </c>
      <c r="G264" s="1">
        <v>8</v>
      </c>
      <c r="J264" s="1" t="s">
        <v>12</v>
      </c>
      <c r="K264" s="10"/>
    </row>
    <row r="265" spans="1:11">
      <c r="A265" s="9">
        <v>46102</v>
      </c>
      <c r="B265" s="1" t="s">
        <v>41</v>
      </c>
      <c r="C265" s="1" t="s">
        <v>19</v>
      </c>
      <c r="D265" s="1">
        <v>609</v>
      </c>
      <c r="E265" s="11" t="s">
        <v>55</v>
      </c>
      <c r="F265" s="1">
        <v>858</v>
      </c>
      <c r="G265" s="1">
        <v>858</v>
      </c>
      <c r="J265" s="1" t="s">
        <v>12</v>
      </c>
      <c r="K265" s="10"/>
    </row>
    <row r="266" spans="1:11">
      <c r="A266" s="9">
        <v>46102</v>
      </c>
      <c r="B266" s="1" t="s">
        <v>41</v>
      </c>
      <c r="C266" s="1" t="s">
        <v>19</v>
      </c>
      <c r="D266" s="1">
        <v>866</v>
      </c>
      <c r="E266" s="11" t="s">
        <v>23</v>
      </c>
      <c r="F266" s="1">
        <v>243</v>
      </c>
      <c r="G266" s="1">
        <v>243</v>
      </c>
      <c r="J266" s="1" t="s">
        <v>12</v>
      </c>
      <c r="K266" s="10"/>
    </row>
    <row r="267" spans="1:11">
      <c r="A267" s="9">
        <v>46102</v>
      </c>
      <c r="B267" s="1" t="s">
        <v>41</v>
      </c>
      <c r="C267" s="1" t="s">
        <v>19</v>
      </c>
      <c r="D267" s="1">
        <v>867</v>
      </c>
      <c r="E267" s="11" t="s">
        <v>65</v>
      </c>
      <c r="F267" s="1">
        <v>18</v>
      </c>
      <c r="G267" s="1">
        <v>18</v>
      </c>
      <c r="J267" s="1" t="s">
        <v>12</v>
      </c>
      <c r="K267" s="10"/>
    </row>
    <row r="268" spans="1:11">
      <c r="A268" s="9">
        <v>46102</v>
      </c>
      <c r="B268" s="1" t="s">
        <v>41</v>
      </c>
      <c r="C268" s="1" t="s">
        <v>19</v>
      </c>
      <c r="D268" s="1">
        <v>851</v>
      </c>
      <c r="E268" s="11" t="s">
        <v>21</v>
      </c>
      <c r="F268" s="1">
        <v>61</v>
      </c>
      <c r="G268" s="1">
        <v>61</v>
      </c>
      <c r="J268" s="1" t="s">
        <v>12</v>
      </c>
      <c r="K268" s="10"/>
    </row>
    <row r="269" spans="1:11">
      <c r="A269" s="9">
        <v>46102</v>
      </c>
      <c r="B269" s="1" t="s">
        <v>41</v>
      </c>
      <c r="C269" s="1" t="s">
        <v>19</v>
      </c>
      <c r="D269" s="1">
        <v>860</v>
      </c>
      <c r="E269" s="11" t="s">
        <v>44</v>
      </c>
      <c r="F269" s="1">
        <v>18</v>
      </c>
      <c r="G269" s="1">
        <v>18</v>
      </c>
      <c r="J269" s="1" t="s">
        <v>12</v>
      </c>
      <c r="K269" s="10"/>
    </row>
    <row r="270" spans="1:11">
      <c r="A270" s="9">
        <v>46103</v>
      </c>
      <c r="B270" s="1" t="s">
        <v>43</v>
      </c>
      <c r="C270" s="1" t="s">
        <v>19</v>
      </c>
      <c r="D270" s="1">
        <v>809</v>
      </c>
      <c r="E270" s="11" t="s">
        <v>36</v>
      </c>
      <c r="F270" s="1">
        <v>652</v>
      </c>
      <c r="G270" s="1">
        <v>652</v>
      </c>
      <c r="J270" s="1" t="s">
        <v>12</v>
      </c>
      <c r="K270" s="10">
        <f>SUM(G272:G283,G285)</f>
        <v>3718</v>
      </c>
    </row>
    <row r="271" spans="1:11">
      <c r="A271" s="9">
        <v>46103</v>
      </c>
      <c r="B271" s="1" t="s">
        <v>43</v>
      </c>
      <c r="C271" s="1" t="s">
        <v>19</v>
      </c>
      <c r="D271" s="1">
        <v>835</v>
      </c>
      <c r="E271" s="11" t="s">
        <v>37</v>
      </c>
      <c r="F271" s="1">
        <v>332</v>
      </c>
      <c r="G271" s="1">
        <v>332</v>
      </c>
      <c r="J271" s="1" t="s">
        <v>12</v>
      </c>
      <c r="K271" s="10"/>
    </row>
    <row r="272" spans="1:11">
      <c r="A272" s="9">
        <v>46103</v>
      </c>
      <c r="B272" s="1" t="s">
        <v>43</v>
      </c>
      <c r="C272" s="1" t="s">
        <v>19</v>
      </c>
      <c r="D272" s="1">
        <v>837</v>
      </c>
      <c r="E272" s="11" t="s">
        <v>72</v>
      </c>
      <c r="F272" s="1">
        <v>312</v>
      </c>
      <c r="G272" s="1">
        <v>312</v>
      </c>
      <c r="J272" s="1" t="s">
        <v>12</v>
      </c>
      <c r="K272" s="10"/>
    </row>
    <row r="273" spans="1:11">
      <c r="A273" s="9">
        <v>46103</v>
      </c>
      <c r="B273" s="1" t="s">
        <v>43</v>
      </c>
      <c r="C273" s="1" t="s">
        <v>19</v>
      </c>
      <c r="D273" s="1">
        <v>871</v>
      </c>
      <c r="E273" s="11" t="s">
        <v>64</v>
      </c>
      <c r="F273" s="1">
        <v>113</v>
      </c>
      <c r="G273" s="1">
        <v>113</v>
      </c>
      <c r="J273" s="1" t="s">
        <v>12</v>
      </c>
      <c r="K273" s="10"/>
    </row>
    <row r="274" spans="1:11">
      <c r="A274" s="9">
        <v>46103</v>
      </c>
      <c r="B274" s="1" t="s">
        <v>42</v>
      </c>
      <c r="C274" s="1" t="s">
        <v>19</v>
      </c>
      <c r="D274" s="1">
        <v>875</v>
      </c>
      <c r="E274" s="11" t="s">
        <v>52</v>
      </c>
      <c r="F274" s="1">
        <v>788</v>
      </c>
      <c r="G274" s="1">
        <v>788</v>
      </c>
      <c r="J274" s="1" t="s">
        <v>12</v>
      </c>
      <c r="K274" s="10"/>
    </row>
    <row r="275" spans="1:11">
      <c r="A275" s="9">
        <v>46103</v>
      </c>
      <c r="B275" s="1" t="s">
        <v>42</v>
      </c>
      <c r="C275" s="1" t="s">
        <v>19</v>
      </c>
      <c r="D275" s="1">
        <v>856</v>
      </c>
      <c r="E275" s="11" t="s">
        <v>54</v>
      </c>
      <c r="F275" s="1">
        <v>464</v>
      </c>
      <c r="G275" s="1">
        <v>464</v>
      </c>
      <c r="J275" s="1" t="s">
        <v>12</v>
      </c>
      <c r="K275" s="10"/>
    </row>
    <row r="276" spans="1:11">
      <c r="A276" s="9">
        <v>46103</v>
      </c>
      <c r="B276" s="1" t="s">
        <v>41</v>
      </c>
      <c r="C276" s="1" t="s">
        <v>19</v>
      </c>
      <c r="D276" s="1">
        <v>858</v>
      </c>
      <c r="E276" s="11" t="s">
        <v>57</v>
      </c>
      <c r="F276" s="1">
        <v>414</v>
      </c>
      <c r="G276" s="1">
        <v>414</v>
      </c>
      <c r="J276" s="1" t="s">
        <v>12</v>
      </c>
      <c r="K276" s="10"/>
    </row>
    <row r="277" spans="1:11">
      <c r="A277" s="9">
        <v>46103</v>
      </c>
      <c r="B277" s="1" t="s">
        <v>41</v>
      </c>
      <c r="C277" s="1" t="s">
        <v>19</v>
      </c>
      <c r="D277" s="1">
        <v>867</v>
      </c>
      <c r="E277" s="11" t="s">
        <v>65</v>
      </c>
      <c r="F277" s="1">
        <v>216</v>
      </c>
      <c r="G277" s="1">
        <v>216</v>
      </c>
      <c r="J277" s="1" t="s">
        <v>12</v>
      </c>
      <c r="K277" s="10"/>
    </row>
    <row r="278" spans="1:11">
      <c r="A278" s="9">
        <v>46103</v>
      </c>
      <c r="B278" s="1" t="s">
        <v>41</v>
      </c>
      <c r="C278" s="1" t="s">
        <v>19</v>
      </c>
      <c r="D278" s="1">
        <v>850</v>
      </c>
      <c r="E278" s="11" t="s">
        <v>56</v>
      </c>
      <c r="F278" s="1">
        <v>174</v>
      </c>
      <c r="G278" s="1">
        <v>174</v>
      </c>
      <c r="J278" s="1" t="s">
        <v>12</v>
      </c>
      <c r="K278" s="10"/>
    </row>
    <row r="279" spans="1:11">
      <c r="A279" s="9">
        <v>46103</v>
      </c>
      <c r="B279" s="1" t="s">
        <v>41</v>
      </c>
      <c r="C279" s="1" t="s">
        <v>19</v>
      </c>
      <c r="D279" s="1">
        <v>9810</v>
      </c>
      <c r="E279" s="11" t="s">
        <v>68</v>
      </c>
      <c r="F279" s="1">
        <v>102</v>
      </c>
      <c r="G279" s="1">
        <v>102</v>
      </c>
      <c r="J279" s="1" t="s">
        <v>12</v>
      </c>
      <c r="K279" s="10"/>
    </row>
    <row r="280" customFormat="1" spans="1:11">
      <c r="A280" s="9">
        <v>46103</v>
      </c>
      <c r="B280" s="1" t="s">
        <v>41</v>
      </c>
      <c r="C280" s="1" t="s">
        <v>19</v>
      </c>
      <c r="D280" s="1">
        <v>853</v>
      </c>
      <c r="E280" s="11" t="s">
        <v>49</v>
      </c>
      <c r="F280" s="1">
        <v>276</v>
      </c>
      <c r="G280" s="1">
        <v>276</v>
      </c>
      <c r="J280" s="1" t="s">
        <v>12</v>
      </c>
      <c r="K280" s="10"/>
    </row>
    <row r="281" spans="1:11">
      <c r="A281" s="9">
        <v>46103</v>
      </c>
      <c r="B281" s="1" t="s">
        <v>41</v>
      </c>
      <c r="C281" s="1" t="s">
        <v>19</v>
      </c>
      <c r="D281" s="1">
        <v>859</v>
      </c>
      <c r="E281" s="11" t="s">
        <v>20</v>
      </c>
      <c r="F281" s="1">
        <v>330</v>
      </c>
      <c r="G281" s="1">
        <v>330</v>
      </c>
      <c r="J281" s="1" t="s">
        <v>12</v>
      </c>
      <c r="K281" s="10"/>
    </row>
    <row r="282" spans="1:11">
      <c r="A282" s="9">
        <v>46103</v>
      </c>
      <c r="B282" s="1" t="s">
        <v>41</v>
      </c>
      <c r="C282" s="1" t="s">
        <v>19</v>
      </c>
      <c r="D282" s="1">
        <v>860</v>
      </c>
      <c r="E282" s="11" t="s">
        <v>44</v>
      </c>
      <c r="F282" s="1">
        <v>111</v>
      </c>
      <c r="G282" s="1">
        <v>111</v>
      </c>
      <c r="J282" s="1" t="s">
        <v>12</v>
      </c>
      <c r="K282" s="10"/>
    </row>
    <row r="283" spans="1:11">
      <c r="A283" s="9">
        <v>46103</v>
      </c>
      <c r="B283" s="1" t="s">
        <v>41</v>
      </c>
      <c r="C283" s="1" t="s">
        <v>19</v>
      </c>
      <c r="D283" s="1">
        <v>861</v>
      </c>
      <c r="E283" s="11" t="s">
        <v>45</v>
      </c>
      <c r="F283" s="1">
        <v>102</v>
      </c>
      <c r="G283" s="1">
        <v>102</v>
      </c>
      <c r="J283" s="1" t="s">
        <v>12</v>
      </c>
      <c r="K283" s="10"/>
    </row>
    <row r="284" spans="1:11">
      <c r="A284" s="9">
        <v>46103</v>
      </c>
      <c r="B284" s="1" t="s">
        <v>41</v>
      </c>
      <c r="C284" s="1" t="s">
        <v>19</v>
      </c>
      <c r="D284" s="1">
        <v>880</v>
      </c>
      <c r="E284" s="11" t="s">
        <v>24</v>
      </c>
      <c r="F284" s="1">
        <v>636</v>
      </c>
      <c r="G284" s="1">
        <v>636</v>
      </c>
      <c r="J284" s="1" t="s">
        <v>12</v>
      </c>
      <c r="K284" s="10"/>
    </row>
    <row r="285" spans="1:11">
      <c r="A285" s="9">
        <v>46103</v>
      </c>
      <c r="B285" s="1" t="s">
        <v>41</v>
      </c>
      <c r="C285" s="1" t="s">
        <v>19</v>
      </c>
      <c r="D285" s="1">
        <v>896</v>
      </c>
      <c r="E285" s="11" t="s">
        <v>25</v>
      </c>
      <c r="F285" s="1">
        <v>316</v>
      </c>
      <c r="G285" s="1">
        <v>316</v>
      </c>
      <c r="J285" s="1" t="s">
        <v>12</v>
      </c>
      <c r="K285" s="10"/>
    </row>
    <row r="286" spans="1:11">
      <c r="A286" s="9">
        <v>46103</v>
      </c>
      <c r="B286" s="1" t="s">
        <v>41</v>
      </c>
      <c r="C286" s="1" t="s">
        <v>19</v>
      </c>
      <c r="D286" s="1">
        <v>827</v>
      </c>
      <c r="E286" s="11" t="s">
        <v>66</v>
      </c>
      <c r="F286" s="1">
        <v>1014</v>
      </c>
      <c r="G286" s="1">
        <v>1014</v>
      </c>
      <c r="J286" s="1" t="s">
        <v>12</v>
      </c>
      <c r="K286" s="10"/>
    </row>
    <row r="287" spans="1:11">
      <c r="A287" s="9">
        <v>46104</v>
      </c>
      <c r="B287" s="1" t="s">
        <v>42</v>
      </c>
      <c r="C287" s="1" t="s">
        <v>19</v>
      </c>
      <c r="D287" s="1">
        <v>875</v>
      </c>
      <c r="E287" s="11" t="s">
        <v>52</v>
      </c>
      <c r="F287" s="1">
        <v>484</v>
      </c>
      <c r="G287" s="1">
        <v>484</v>
      </c>
      <c r="J287" s="1" t="s">
        <v>12</v>
      </c>
      <c r="K287" s="10">
        <f>SUM(G288:G292,G295:G299,G301:G302)</f>
        <v>4361</v>
      </c>
    </row>
    <row r="288" spans="1:11">
      <c r="A288" s="9">
        <v>46104</v>
      </c>
      <c r="B288" s="1" t="s">
        <v>42</v>
      </c>
      <c r="C288" s="1" t="s">
        <v>19</v>
      </c>
      <c r="D288" s="1">
        <v>807</v>
      </c>
      <c r="E288" s="11" t="s">
        <v>53</v>
      </c>
      <c r="F288" s="1">
        <v>364</v>
      </c>
      <c r="G288" s="1">
        <v>364</v>
      </c>
      <c r="J288" s="1" t="s">
        <v>12</v>
      </c>
      <c r="K288" s="10"/>
    </row>
    <row r="289" spans="1:11">
      <c r="A289" s="9">
        <v>46104</v>
      </c>
      <c r="B289" s="1" t="s">
        <v>41</v>
      </c>
      <c r="C289" s="1" t="s">
        <v>19</v>
      </c>
      <c r="D289" s="1">
        <v>609</v>
      </c>
      <c r="E289" s="11" t="s">
        <v>55</v>
      </c>
      <c r="F289" s="1">
        <v>1092</v>
      </c>
      <c r="G289" s="1">
        <v>1092</v>
      </c>
      <c r="J289" s="1" t="s">
        <v>12</v>
      </c>
      <c r="K289" s="10"/>
    </row>
    <row r="290" spans="1:11">
      <c r="A290" s="9">
        <v>46104</v>
      </c>
      <c r="B290" s="1" t="s">
        <v>41</v>
      </c>
      <c r="C290" s="1" t="s">
        <v>19</v>
      </c>
      <c r="D290" s="1">
        <v>818</v>
      </c>
      <c r="E290" s="11" t="s">
        <v>47</v>
      </c>
      <c r="F290" s="1">
        <v>698</v>
      </c>
      <c r="G290" s="1">
        <v>698</v>
      </c>
      <c r="J290" s="1" t="s">
        <v>12</v>
      </c>
      <c r="K290" s="10"/>
    </row>
    <row r="291" spans="1:11">
      <c r="A291" s="9">
        <v>46104</v>
      </c>
      <c r="B291" s="1" t="s">
        <v>41</v>
      </c>
      <c r="C291" s="1" t="s">
        <v>19</v>
      </c>
      <c r="D291" s="1">
        <v>865</v>
      </c>
      <c r="E291" s="11" t="s">
        <v>22</v>
      </c>
      <c r="F291" s="1">
        <v>1360</v>
      </c>
      <c r="G291" s="1">
        <v>1360</v>
      </c>
      <c r="J291" s="1" t="s">
        <v>12</v>
      </c>
      <c r="K291" s="10"/>
    </row>
    <row r="292" spans="1:11">
      <c r="A292" s="9">
        <v>46104</v>
      </c>
      <c r="B292" s="1" t="s">
        <v>41</v>
      </c>
      <c r="C292" s="1" t="s">
        <v>19</v>
      </c>
      <c r="D292" s="1">
        <v>860</v>
      </c>
      <c r="E292" s="11" t="s">
        <v>44</v>
      </c>
      <c r="F292" s="1">
        <v>406</v>
      </c>
      <c r="G292" s="1">
        <v>406</v>
      </c>
      <c r="J292" s="1" t="s">
        <v>12</v>
      </c>
      <c r="K292" s="10"/>
    </row>
    <row r="293" spans="1:11">
      <c r="A293" s="9">
        <v>46104</v>
      </c>
      <c r="B293" s="1" t="s">
        <v>41</v>
      </c>
      <c r="C293" s="1" t="s">
        <v>19</v>
      </c>
      <c r="D293" s="1">
        <v>859</v>
      </c>
      <c r="E293" s="11" t="s">
        <v>20</v>
      </c>
      <c r="F293" s="1">
        <v>404</v>
      </c>
      <c r="G293" s="1">
        <v>404</v>
      </c>
      <c r="J293" s="1" t="s">
        <v>12</v>
      </c>
      <c r="K293" s="10"/>
    </row>
    <row r="294" spans="1:11">
      <c r="A294" s="9">
        <v>46104</v>
      </c>
      <c r="B294" s="1" t="s">
        <v>41</v>
      </c>
      <c r="C294" s="1" t="s">
        <v>19</v>
      </c>
      <c r="D294" s="1">
        <v>851</v>
      </c>
      <c r="E294" s="11" t="s">
        <v>21</v>
      </c>
      <c r="F294" s="1">
        <v>357</v>
      </c>
      <c r="G294" s="1">
        <v>357</v>
      </c>
      <c r="J294" s="1" t="s">
        <v>12</v>
      </c>
      <c r="K294" s="10"/>
    </row>
    <row r="295" spans="1:11">
      <c r="A295" s="9">
        <v>46104</v>
      </c>
      <c r="B295" s="1" t="s">
        <v>41</v>
      </c>
      <c r="C295" s="1" t="s">
        <v>19</v>
      </c>
      <c r="D295" s="1">
        <v>853</v>
      </c>
      <c r="E295" s="11" t="s">
        <v>49</v>
      </c>
      <c r="F295" s="1">
        <v>26</v>
      </c>
      <c r="G295" s="1">
        <v>26</v>
      </c>
      <c r="J295" s="1" t="s">
        <v>12</v>
      </c>
      <c r="K295" s="10"/>
    </row>
    <row r="296" spans="1:11">
      <c r="A296" s="9">
        <v>46104</v>
      </c>
      <c r="B296" s="1" t="s">
        <v>41</v>
      </c>
      <c r="C296" s="1" t="s">
        <v>19</v>
      </c>
      <c r="D296" s="1">
        <v>867</v>
      </c>
      <c r="E296" s="11" t="s">
        <v>65</v>
      </c>
      <c r="F296" s="1">
        <v>309</v>
      </c>
      <c r="G296" s="1">
        <v>309</v>
      </c>
      <c r="J296" s="1" t="s">
        <v>12</v>
      </c>
      <c r="K296" s="10"/>
    </row>
    <row r="297" spans="1:11">
      <c r="A297" s="9">
        <v>46104</v>
      </c>
      <c r="B297" s="1" t="s">
        <v>41</v>
      </c>
      <c r="C297" s="1" t="s">
        <v>19</v>
      </c>
      <c r="D297" s="1">
        <v>866</v>
      </c>
      <c r="E297" s="11" t="s">
        <v>23</v>
      </c>
      <c r="F297" s="1">
        <v>32</v>
      </c>
      <c r="G297" s="1">
        <v>32</v>
      </c>
      <c r="J297" s="1" t="s">
        <v>12</v>
      </c>
      <c r="K297" s="10"/>
    </row>
    <row r="298" spans="1:11">
      <c r="A298" s="9">
        <v>46104</v>
      </c>
      <c r="B298" s="1" t="s">
        <v>41</v>
      </c>
      <c r="C298" s="1" t="s">
        <v>19</v>
      </c>
      <c r="D298" s="1">
        <v>820</v>
      </c>
      <c r="E298" s="11" t="s">
        <v>51</v>
      </c>
      <c r="F298" s="1">
        <v>32</v>
      </c>
      <c r="G298" s="1">
        <v>32</v>
      </c>
      <c r="J298" s="1" t="s">
        <v>12</v>
      </c>
      <c r="K298" s="10"/>
    </row>
    <row r="299" spans="1:11">
      <c r="A299" s="9">
        <v>46104</v>
      </c>
      <c r="B299" s="1" t="s">
        <v>41</v>
      </c>
      <c r="C299" s="1" t="s">
        <v>19</v>
      </c>
      <c r="D299" s="1">
        <v>609</v>
      </c>
      <c r="E299" s="11" t="s">
        <v>55</v>
      </c>
      <c r="F299" s="1">
        <v>22</v>
      </c>
      <c r="G299" s="1">
        <v>22</v>
      </c>
      <c r="J299" s="1" t="s">
        <v>12</v>
      </c>
      <c r="K299" s="10"/>
    </row>
    <row r="300" spans="1:11">
      <c r="A300" s="9">
        <v>46104</v>
      </c>
      <c r="B300" s="1" t="s">
        <v>43</v>
      </c>
      <c r="C300" s="1" t="s">
        <v>19</v>
      </c>
      <c r="D300" s="1">
        <v>838</v>
      </c>
      <c r="E300" s="11" t="s">
        <v>63</v>
      </c>
      <c r="F300" s="1">
        <v>444</v>
      </c>
      <c r="G300" s="1">
        <v>444</v>
      </c>
      <c r="J300" s="1" t="s">
        <v>12</v>
      </c>
      <c r="K300" s="10"/>
    </row>
    <row r="301" spans="1:11">
      <c r="A301" s="9">
        <v>46104</v>
      </c>
      <c r="B301" s="1" t="s">
        <v>43</v>
      </c>
      <c r="C301" s="1" t="s">
        <v>19</v>
      </c>
      <c r="D301" s="1">
        <v>809</v>
      </c>
      <c r="E301" s="11" t="s">
        <v>36</v>
      </c>
      <c r="F301" s="1">
        <v>10</v>
      </c>
      <c r="G301" s="1">
        <v>10</v>
      </c>
      <c r="J301" s="1" t="s">
        <v>12</v>
      </c>
      <c r="K301" s="10"/>
    </row>
    <row r="302" spans="1:11">
      <c r="A302" s="9">
        <v>46104</v>
      </c>
      <c r="B302" s="1" t="s">
        <v>43</v>
      </c>
      <c r="C302" s="1" t="s">
        <v>19</v>
      </c>
      <c r="D302" s="1">
        <v>857</v>
      </c>
      <c r="E302" s="11" t="s">
        <v>60</v>
      </c>
      <c r="F302" s="1">
        <v>10</v>
      </c>
      <c r="G302" s="1">
        <v>10</v>
      </c>
      <c r="J302" s="1" t="s">
        <v>12</v>
      </c>
      <c r="K302" s="10"/>
    </row>
    <row r="303" spans="1:11">
      <c r="A303" s="9">
        <v>46105</v>
      </c>
      <c r="B303" s="1" t="s">
        <v>41</v>
      </c>
      <c r="C303" s="1" t="s">
        <v>19</v>
      </c>
      <c r="D303" s="1">
        <v>861</v>
      </c>
      <c r="E303" s="11" t="s">
        <v>45</v>
      </c>
      <c r="F303" s="1">
        <v>786</v>
      </c>
      <c r="G303" s="1">
        <v>786</v>
      </c>
      <c r="J303" s="1" t="s">
        <v>12</v>
      </c>
      <c r="K303" s="10">
        <f>SUM(G303:G312,G314:G315)</f>
        <v>5443</v>
      </c>
    </row>
    <row r="304" spans="1:11">
      <c r="A304" s="9">
        <v>46105</v>
      </c>
      <c r="B304" s="1" t="s">
        <v>41</v>
      </c>
      <c r="C304" s="1" t="s">
        <v>19</v>
      </c>
      <c r="D304" s="1">
        <v>609</v>
      </c>
      <c r="E304" s="11" t="s">
        <v>55</v>
      </c>
      <c r="F304" s="1">
        <v>600</v>
      </c>
      <c r="G304" s="1">
        <v>600</v>
      </c>
      <c r="J304" s="1" t="s">
        <v>12</v>
      </c>
      <c r="K304" s="10"/>
    </row>
    <row r="305" spans="1:11">
      <c r="A305" s="9">
        <v>46105</v>
      </c>
      <c r="B305" s="1" t="s">
        <v>41</v>
      </c>
      <c r="C305" s="1" t="s">
        <v>19</v>
      </c>
      <c r="D305" s="1">
        <v>820</v>
      </c>
      <c r="E305" s="11" t="s">
        <v>51</v>
      </c>
      <c r="F305" s="1">
        <v>412</v>
      </c>
      <c r="G305" s="1">
        <v>412</v>
      </c>
      <c r="J305" s="1" t="s">
        <v>12</v>
      </c>
      <c r="K305" s="10"/>
    </row>
    <row r="306" spans="1:11">
      <c r="A306" s="9">
        <v>46105</v>
      </c>
      <c r="B306" s="1" t="s">
        <v>41</v>
      </c>
      <c r="C306" s="1" t="s">
        <v>19</v>
      </c>
      <c r="D306" s="1">
        <v>859</v>
      </c>
      <c r="E306" s="11" t="s">
        <v>20</v>
      </c>
      <c r="F306" s="1">
        <v>378</v>
      </c>
      <c r="G306" s="1">
        <v>378</v>
      </c>
      <c r="J306" s="1" t="s">
        <v>12</v>
      </c>
      <c r="K306" s="10"/>
    </row>
    <row r="307" spans="1:11">
      <c r="A307" s="9">
        <v>46105</v>
      </c>
      <c r="B307" s="1" t="s">
        <v>41</v>
      </c>
      <c r="C307" s="1" t="s">
        <v>19</v>
      </c>
      <c r="D307" s="1">
        <v>867</v>
      </c>
      <c r="E307" s="11" t="s">
        <v>65</v>
      </c>
      <c r="F307" s="1">
        <v>234</v>
      </c>
      <c r="G307" s="1">
        <v>234</v>
      </c>
      <c r="J307" s="1" t="s">
        <v>12</v>
      </c>
      <c r="K307" s="10"/>
    </row>
    <row r="308" spans="1:11">
      <c r="A308" s="9">
        <v>46105</v>
      </c>
      <c r="B308" s="1" t="s">
        <v>41</v>
      </c>
      <c r="C308" s="1" t="s">
        <v>19</v>
      </c>
      <c r="D308" s="1">
        <v>817</v>
      </c>
      <c r="E308" s="11" t="s">
        <v>48</v>
      </c>
      <c r="F308" s="1">
        <v>11</v>
      </c>
      <c r="G308" s="1">
        <v>11</v>
      </c>
      <c r="J308" s="1" t="s">
        <v>12</v>
      </c>
      <c r="K308" s="10"/>
    </row>
    <row r="309" spans="1:11">
      <c r="A309" s="9">
        <v>46105</v>
      </c>
      <c r="B309" s="1" t="s">
        <v>41</v>
      </c>
      <c r="C309" s="1" t="s">
        <v>19</v>
      </c>
      <c r="D309" s="1">
        <v>853</v>
      </c>
      <c r="E309" s="11" t="s">
        <v>49</v>
      </c>
      <c r="F309" s="1">
        <v>216</v>
      </c>
      <c r="G309" s="1">
        <v>216</v>
      </c>
      <c r="J309" s="1" t="s">
        <v>12</v>
      </c>
      <c r="K309" s="10"/>
    </row>
    <row r="310" spans="1:11">
      <c r="A310" s="9">
        <v>46105</v>
      </c>
      <c r="B310" s="1" t="s">
        <v>41</v>
      </c>
      <c r="C310" s="1" t="s">
        <v>19</v>
      </c>
      <c r="D310" s="1">
        <v>813</v>
      </c>
      <c r="E310" s="11" t="s">
        <v>38</v>
      </c>
      <c r="F310" s="1">
        <v>428</v>
      </c>
      <c r="G310" s="1">
        <v>428</v>
      </c>
      <c r="J310" s="1" t="s">
        <v>12</v>
      </c>
      <c r="K310" s="10"/>
    </row>
    <row r="311" spans="1:11">
      <c r="A311" s="9">
        <v>46105</v>
      </c>
      <c r="B311" s="1" t="s">
        <v>43</v>
      </c>
      <c r="C311" s="1" t="s">
        <v>19</v>
      </c>
      <c r="D311" s="1">
        <v>885</v>
      </c>
      <c r="E311" s="11" t="s">
        <v>59</v>
      </c>
      <c r="F311" s="1">
        <v>332</v>
      </c>
      <c r="G311" s="1">
        <v>332</v>
      </c>
      <c r="J311" s="1" t="s">
        <v>12</v>
      </c>
      <c r="K311" s="10"/>
    </row>
    <row r="312" spans="1:11">
      <c r="A312" s="9">
        <v>46105</v>
      </c>
      <c r="B312" s="1" t="s">
        <v>43</v>
      </c>
      <c r="C312" s="1" t="s">
        <v>19</v>
      </c>
      <c r="D312" s="1">
        <v>838</v>
      </c>
      <c r="E312" s="11" t="s">
        <v>63</v>
      </c>
      <c r="F312" s="1">
        <v>472</v>
      </c>
      <c r="G312" s="1">
        <v>472</v>
      </c>
      <c r="J312" s="1" t="s">
        <v>12</v>
      </c>
      <c r="K312" s="10"/>
    </row>
    <row r="313" spans="1:11">
      <c r="A313" s="9">
        <v>46105</v>
      </c>
      <c r="B313" s="1" t="s">
        <v>43</v>
      </c>
      <c r="C313" s="1" t="s">
        <v>19</v>
      </c>
      <c r="D313" s="1">
        <v>837</v>
      </c>
      <c r="E313" s="11" t="s">
        <v>72</v>
      </c>
      <c r="F313" s="1">
        <v>544</v>
      </c>
      <c r="G313" s="1">
        <v>544</v>
      </c>
      <c r="J313" s="1" t="s">
        <v>12</v>
      </c>
      <c r="K313" s="10"/>
    </row>
    <row r="314" spans="1:11">
      <c r="A314" s="9">
        <v>46105</v>
      </c>
      <c r="B314" s="1" t="s">
        <v>43</v>
      </c>
      <c r="C314" s="1" t="s">
        <v>19</v>
      </c>
      <c r="D314" s="1">
        <v>871</v>
      </c>
      <c r="E314" s="11" t="s">
        <v>64</v>
      </c>
      <c r="F314" s="1">
        <v>292</v>
      </c>
      <c r="G314" s="1">
        <v>292</v>
      </c>
      <c r="J314" s="1" t="s">
        <v>12</v>
      </c>
      <c r="K314" s="10"/>
    </row>
    <row r="315" spans="1:11">
      <c r="A315" s="9">
        <v>46105</v>
      </c>
      <c r="B315" s="1" t="s">
        <v>41</v>
      </c>
      <c r="C315" s="1" t="s">
        <v>19</v>
      </c>
      <c r="D315" s="1">
        <v>865</v>
      </c>
      <c r="E315" s="11" t="s">
        <v>22</v>
      </c>
      <c r="F315" s="1">
        <v>1282</v>
      </c>
      <c r="G315" s="1">
        <v>1282</v>
      </c>
      <c r="J315" s="1" t="s">
        <v>12</v>
      </c>
      <c r="K315" s="10"/>
    </row>
    <row r="316" spans="1:11">
      <c r="A316" s="9">
        <v>46106</v>
      </c>
      <c r="B316" s="1" t="s">
        <v>41</v>
      </c>
      <c r="C316" s="1" t="s">
        <v>19</v>
      </c>
      <c r="D316" s="1">
        <v>818</v>
      </c>
      <c r="E316" s="11" t="s">
        <v>47</v>
      </c>
      <c r="F316" s="1">
        <v>980</v>
      </c>
      <c r="G316" s="1">
        <v>980</v>
      </c>
      <c r="J316" s="1" t="s">
        <v>12</v>
      </c>
      <c r="K316" s="10">
        <f>SUM(G316:G318,G321:G322,G326)</f>
        <v>3340</v>
      </c>
    </row>
    <row r="317" spans="1:11">
      <c r="A317" s="9">
        <v>46106</v>
      </c>
      <c r="B317" s="1" t="s">
        <v>41</v>
      </c>
      <c r="C317" s="1" t="s">
        <v>19</v>
      </c>
      <c r="D317" s="1">
        <v>820</v>
      </c>
      <c r="E317" s="11" t="s">
        <v>51</v>
      </c>
      <c r="F317" s="1">
        <v>404</v>
      </c>
      <c r="G317" s="1">
        <v>404</v>
      </c>
      <c r="J317" s="1" t="s">
        <v>12</v>
      </c>
      <c r="K317" s="10"/>
    </row>
    <row r="318" spans="1:11">
      <c r="A318" s="9">
        <v>46106</v>
      </c>
      <c r="B318" s="1" t="s">
        <v>41</v>
      </c>
      <c r="C318" s="1" t="s">
        <v>19</v>
      </c>
      <c r="D318" s="1">
        <v>810</v>
      </c>
      <c r="E318" s="11" t="s">
        <v>50</v>
      </c>
      <c r="F318" s="1">
        <v>220</v>
      </c>
      <c r="G318" s="1">
        <v>220</v>
      </c>
      <c r="J318" s="1" t="s">
        <v>12</v>
      </c>
      <c r="K318" s="10"/>
    </row>
    <row r="319" spans="1:11">
      <c r="A319" s="9">
        <v>46106</v>
      </c>
      <c r="B319" s="1" t="s">
        <v>41</v>
      </c>
      <c r="C319" s="1" t="s">
        <v>19</v>
      </c>
      <c r="D319" s="1">
        <v>609</v>
      </c>
      <c r="E319" s="11" t="s">
        <v>55</v>
      </c>
      <c r="F319" s="1">
        <v>1416</v>
      </c>
      <c r="G319" s="1">
        <v>1416</v>
      </c>
      <c r="J319" s="1" t="s">
        <v>12</v>
      </c>
      <c r="K319" s="10"/>
    </row>
    <row r="320" spans="1:11">
      <c r="A320" s="9">
        <v>46106</v>
      </c>
      <c r="B320" s="1" t="s">
        <v>41</v>
      </c>
      <c r="C320" s="1" t="s">
        <v>19</v>
      </c>
      <c r="D320" s="1">
        <v>880</v>
      </c>
      <c r="E320" s="11" t="s">
        <v>24</v>
      </c>
      <c r="F320" s="1">
        <v>1152</v>
      </c>
      <c r="G320" s="1">
        <v>1152</v>
      </c>
      <c r="J320" s="1" t="s">
        <v>12</v>
      </c>
      <c r="K320" s="10"/>
    </row>
    <row r="321" spans="1:11">
      <c r="A321" s="9">
        <v>46106</v>
      </c>
      <c r="B321" s="1" t="s">
        <v>42</v>
      </c>
      <c r="C321" s="1" t="s">
        <v>19</v>
      </c>
      <c r="D321" s="1">
        <v>807</v>
      </c>
      <c r="E321" s="11" t="s">
        <v>53</v>
      </c>
      <c r="F321" s="1">
        <v>720</v>
      </c>
      <c r="G321" s="1">
        <v>720</v>
      </c>
      <c r="J321" s="1" t="s">
        <v>12</v>
      </c>
      <c r="K321" s="10"/>
    </row>
    <row r="322" spans="1:11">
      <c r="A322" s="9">
        <v>46106</v>
      </c>
      <c r="B322" s="1" t="s">
        <v>41</v>
      </c>
      <c r="C322" s="1" t="s">
        <v>19</v>
      </c>
      <c r="D322" s="1">
        <v>867</v>
      </c>
      <c r="E322" s="11" t="s">
        <v>65</v>
      </c>
      <c r="F322" s="1">
        <v>536</v>
      </c>
      <c r="G322" s="1">
        <v>536</v>
      </c>
      <c r="J322" s="1" t="s">
        <v>12</v>
      </c>
      <c r="K322" s="10"/>
    </row>
    <row r="323" spans="1:11">
      <c r="A323" s="9">
        <v>46106</v>
      </c>
      <c r="B323" s="1" t="s">
        <v>41</v>
      </c>
      <c r="C323" s="1" t="s">
        <v>19</v>
      </c>
      <c r="D323" s="1">
        <v>863</v>
      </c>
      <c r="E323" s="11" t="s">
        <v>46</v>
      </c>
      <c r="F323" s="1">
        <v>267</v>
      </c>
      <c r="G323" s="1">
        <v>267</v>
      </c>
      <c r="J323" s="1" t="s">
        <v>12</v>
      </c>
      <c r="K323" s="10"/>
    </row>
    <row r="324" spans="1:11">
      <c r="A324" s="9">
        <v>46106</v>
      </c>
      <c r="B324" s="1" t="s">
        <v>41</v>
      </c>
      <c r="C324" s="1" t="s">
        <v>19</v>
      </c>
      <c r="D324" s="1">
        <v>853</v>
      </c>
      <c r="E324" s="11" t="s">
        <v>49</v>
      </c>
      <c r="F324" s="1">
        <v>756</v>
      </c>
      <c r="G324" s="1">
        <v>756</v>
      </c>
      <c r="J324" s="1" t="s">
        <v>12</v>
      </c>
      <c r="K324" s="10"/>
    </row>
    <row r="325" spans="1:11">
      <c r="A325" s="9">
        <v>46106</v>
      </c>
      <c r="B325" s="1" t="s">
        <v>41</v>
      </c>
      <c r="C325" s="1" t="s">
        <v>19</v>
      </c>
      <c r="D325" s="1">
        <v>860</v>
      </c>
      <c r="E325" s="11" t="s">
        <v>44</v>
      </c>
      <c r="F325" s="1">
        <v>303</v>
      </c>
      <c r="G325" s="1">
        <v>303</v>
      </c>
      <c r="J325" s="1" t="s">
        <v>12</v>
      </c>
      <c r="K325" s="10"/>
    </row>
    <row r="326" spans="1:11">
      <c r="A326" s="9">
        <v>46106</v>
      </c>
      <c r="B326" s="1" t="s">
        <v>41</v>
      </c>
      <c r="C326" s="1" t="s">
        <v>19</v>
      </c>
      <c r="D326" s="1">
        <v>896</v>
      </c>
      <c r="E326" s="11" t="s">
        <v>25</v>
      </c>
      <c r="F326" s="1">
        <v>480</v>
      </c>
      <c r="G326" s="1">
        <v>480</v>
      </c>
      <c r="J326" s="1" t="s">
        <v>12</v>
      </c>
      <c r="K326" s="10"/>
    </row>
    <row r="327" spans="1:11">
      <c r="A327" s="9">
        <v>46107</v>
      </c>
      <c r="B327" s="1" t="s">
        <v>42</v>
      </c>
      <c r="C327" s="1" t="s">
        <v>19</v>
      </c>
      <c r="D327" s="1">
        <v>856</v>
      </c>
      <c r="E327" s="11" t="s">
        <v>54</v>
      </c>
      <c r="F327" s="1">
        <v>666</v>
      </c>
      <c r="G327" s="1">
        <v>666</v>
      </c>
      <c r="J327" s="1" t="s">
        <v>12</v>
      </c>
      <c r="K327" s="10">
        <f>SUM(G327:G333,G335,G338:G340)</f>
        <v>4566</v>
      </c>
    </row>
    <row r="328" spans="1:11">
      <c r="A328" s="9">
        <v>46107</v>
      </c>
      <c r="B328" s="1" t="s">
        <v>42</v>
      </c>
      <c r="C328" s="1" t="s">
        <v>19</v>
      </c>
      <c r="D328" s="1">
        <v>9875</v>
      </c>
      <c r="E328" s="11" t="s">
        <v>62</v>
      </c>
      <c r="F328" s="1">
        <v>138</v>
      </c>
      <c r="G328" s="1">
        <v>138</v>
      </c>
      <c r="J328" s="1" t="s">
        <v>12</v>
      </c>
      <c r="K328" s="10"/>
    </row>
    <row r="329" spans="1:11">
      <c r="A329" s="9">
        <v>46107</v>
      </c>
      <c r="B329" s="1" t="s">
        <v>41</v>
      </c>
      <c r="C329" s="1" t="s">
        <v>19</v>
      </c>
      <c r="D329" s="1">
        <v>866</v>
      </c>
      <c r="E329" s="11" t="s">
        <v>23</v>
      </c>
      <c r="F329" s="1">
        <v>4</v>
      </c>
      <c r="G329" s="1">
        <v>4</v>
      </c>
      <c r="J329" s="1" t="s">
        <v>12</v>
      </c>
      <c r="K329" s="10"/>
    </row>
    <row r="330" spans="1:11">
      <c r="A330" s="9">
        <v>46107</v>
      </c>
      <c r="B330" s="1" t="s">
        <v>41</v>
      </c>
      <c r="C330" s="1" t="s">
        <v>19</v>
      </c>
      <c r="D330" s="1">
        <v>818</v>
      </c>
      <c r="E330" s="11" t="s">
        <v>47</v>
      </c>
      <c r="F330" s="1">
        <v>297</v>
      </c>
      <c r="G330" s="1">
        <v>297</v>
      </c>
      <c r="J330" s="1" t="s">
        <v>12</v>
      </c>
      <c r="K330" s="10"/>
    </row>
    <row r="331" spans="1:11">
      <c r="A331" s="9">
        <v>46107</v>
      </c>
      <c r="B331" s="1" t="s">
        <v>41</v>
      </c>
      <c r="C331" s="1" t="s">
        <v>19</v>
      </c>
      <c r="D331" s="1">
        <v>865</v>
      </c>
      <c r="E331" s="11" t="s">
        <v>22</v>
      </c>
      <c r="F331" s="1">
        <v>920</v>
      </c>
      <c r="G331" s="1">
        <v>920</v>
      </c>
      <c r="J331" s="1" t="s">
        <v>12</v>
      </c>
      <c r="K331" s="10"/>
    </row>
    <row r="332" spans="1:11">
      <c r="A332" s="9">
        <v>46107</v>
      </c>
      <c r="B332" s="1" t="s">
        <v>41</v>
      </c>
      <c r="C332" s="1" t="s">
        <v>19</v>
      </c>
      <c r="D332" s="1">
        <v>818</v>
      </c>
      <c r="E332" s="11" t="s">
        <v>47</v>
      </c>
      <c r="F332" s="1">
        <v>136</v>
      </c>
      <c r="G332" s="1">
        <v>136</v>
      </c>
      <c r="J332" s="1" t="s">
        <v>12</v>
      </c>
      <c r="K332" s="10"/>
    </row>
    <row r="333" spans="1:11">
      <c r="A333" s="9">
        <v>46107</v>
      </c>
      <c r="B333" s="1" t="s">
        <v>43</v>
      </c>
      <c r="C333" s="1" t="s">
        <v>19</v>
      </c>
      <c r="D333" s="1">
        <v>837</v>
      </c>
      <c r="E333" s="11" t="s">
        <v>72</v>
      </c>
      <c r="F333" s="1">
        <v>748</v>
      </c>
      <c r="G333" s="1">
        <v>748</v>
      </c>
      <c r="J333" s="1" t="s">
        <v>12</v>
      </c>
      <c r="K333" s="10"/>
    </row>
    <row r="334" spans="1:11">
      <c r="A334" s="9">
        <v>46107</v>
      </c>
      <c r="B334" s="1" t="s">
        <v>43</v>
      </c>
      <c r="C334" s="1" t="s">
        <v>19</v>
      </c>
      <c r="D334" s="1">
        <v>857</v>
      </c>
      <c r="E334" s="11" t="s">
        <v>60</v>
      </c>
      <c r="F334" s="1">
        <v>444</v>
      </c>
      <c r="G334" s="1">
        <v>444</v>
      </c>
      <c r="J334" s="1" t="s">
        <v>12</v>
      </c>
      <c r="K334" s="10"/>
    </row>
    <row r="335" spans="1:11">
      <c r="A335" s="9">
        <v>46107</v>
      </c>
      <c r="B335" s="1" t="s">
        <v>43</v>
      </c>
      <c r="C335" s="1" t="s">
        <v>19</v>
      </c>
      <c r="D335" s="1">
        <v>809</v>
      </c>
      <c r="E335" s="11" t="s">
        <v>36</v>
      </c>
      <c r="F335" s="1">
        <v>356</v>
      </c>
      <c r="G335" s="1">
        <v>356</v>
      </c>
      <c r="J335" s="1" t="s">
        <v>12</v>
      </c>
      <c r="K335" s="10"/>
    </row>
    <row r="336" spans="1:11">
      <c r="A336" s="9">
        <v>46107</v>
      </c>
      <c r="B336" s="1" t="s">
        <v>41</v>
      </c>
      <c r="C336" s="1" t="s">
        <v>19</v>
      </c>
      <c r="D336" s="1">
        <v>853</v>
      </c>
      <c r="E336" s="11" t="s">
        <v>49</v>
      </c>
      <c r="F336" s="1">
        <v>216</v>
      </c>
      <c r="G336" s="1">
        <v>216</v>
      </c>
      <c r="J336" s="1" t="s">
        <v>12</v>
      </c>
      <c r="K336" s="10"/>
    </row>
    <row r="337" spans="1:11">
      <c r="A337" s="9">
        <v>46107</v>
      </c>
      <c r="B337" s="1" t="s">
        <v>41</v>
      </c>
      <c r="C337" s="1" t="s">
        <v>19</v>
      </c>
      <c r="D337" s="1">
        <v>859</v>
      </c>
      <c r="E337" s="11" t="s">
        <v>20</v>
      </c>
      <c r="F337" s="1">
        <v>282</v>
      </c>
      <c r="G337" s="1">
        <v>282</v>
      </c>
      <c r="J337" s="1" t="s">
        <v>12</v>
      </c>
      <c r="K337" s="10"/>
    </row>
    <row r="338" spans="1:11">
      <c r="A338" s="9">
        <v>46107</v>
      </c>
      <c r="B338" s="1" t="s">
        <v>41</v>
      </c>
      <c r="C338" s="1" t="s">
        <v>19</v>
      </c>
      <c r="D338" s="1">
        <v>827</v>
      </c>
      <c r="E338" s="11" t="s">
        <v>66</v>
      </c>
      <c r="F338" s="1">
        <v>500</v>
      </c>
      <c r="G338" s="1">
        <v>500</v>
      </c>
      <c r="J338" s="1" t="s">
        <v>12</v>
      </c>
      <c r="K338" s="10"/>
    </row>
    <row r="339" spans="1:11">
      <c r="A339" s="9">
        <v>46107</v>
      </c>
      <c r="B339" s="1" t="s">
        <v>41</v>
      </c>
      <c r="C339" s="1" t="s">
        <v>19</v>
      </c>
      <c r="D339" s="1">
        <v>896</v>
      </c>
      <c r="E339" s="11" t="s">
        <v>25</v>
      </c>
      <c r="F339" s="1">
        <v>267</v>
      </c>
      <c r="G339" s="1">
        <v>267</v>
      </c>
      <c r="J339" s="1" t="s">
        <v>12</v>
      </c>
      <c r="K339" s="10"/>
    </row>
    <row r="340" spans="1:11">
      <c r="A340" s="9">
        <v>46107</v>
      </c>
      <c r="B340" s="1" t="s">
        <v>41</v>
      </c>
      <c r="C340" s="1" t="s">
        <v>19</v>
      </c>
      <c r="D340" s="1">
        <v>817</v>
      </c>
      <c r="E340" s="11" t="s">
        <v>48</v>
      </c>
      <c r="F340" s="1">
        <v>534</v>
      </c>
      <c r="G340" s="1">
        <v>534</v>
      </c>
      <c r="J340" s="1" t="s">
        <v>12</v>
      </c>
      <c r="K340" s="10"/>
    </row>
    <row r="341" spans="1:11">
      <c r="A341" s="9">
        <v>46108</v>
      </c>
      <c r="B341" s="1" t="s">
        <v>43</v>
      </c>
      <c r="C341" s="1" t="s">
        <v>19</v>
      </c>
      <c r="D341" s="1">
        <v>838</v>
      </c>
      <c r="E341" s="11" t="s">
        <v>63</v>
      </c>
      <c r="F341" s="1">
        <v>600</v>
      </c>
      <c r="G341" s="1">
        <v>600</v>
      </c>
      <c r="J341" s="1" t="s">
        <v>12</v>
      </c>
      <c r="K341" s="10">
        <f>SUM(G341:G349,G351)</f>
        <v>3768</v>
      </c>
    </row>
    <row r="342" spans="1:11">
      <c r="A342" s="9">
        <v>46108</v>
      </c>
      <c r="B342" s="1" t="s">
        <v>43</v>
      </c>
      <c r="C342" s="1" t="s">
        <v>19</v>
      </c>
      <c r="D342" s="1">
        <v>809</v>
      </c>
      <c r="E342" s="11" t="s">
        <v>36</v>
      </c>
      <c r="F342" s="1">
        <v>588</v>
      </c>
      <c r="G342" s="1">
        <v>588</v>
      </c>
      <c r="J342" s="1" t="s">
        <v>12</v>
      </c>
      <c r="K342" s="10"/>
    </row>
    <row r="343" spans="1:11">
      <c r="A343" s="9">
        <v>46108</v>
      </c>
      <c r="B343" s="1" t="s">
        <v>43</v>
      </c>
      <c r="C343" s="1" t="s">
        <v>19</v>
      </c>
      <c r="D343" s="1">
        <v>856</v>
      </c>
      <c r="E343" s="11" t="s">
        <v>54</v>
      </c>
      <c r="F343" s="1">
        <v>484</v>
      </c>
      <c r="G343" s="1">
        <v>484</v>
      </c>
      <c r="J343" s="1" t="s">
        <v>12</v>
      </c>
      <c r="K343" s="10"/>
    </row>
    <row r="344" spans="1:11">
      <c r="A344" s="9">
        <v>46108</v>
      </c>
      <c r="B344" s="1" t="s">
        <v>42</v>
      </c>
      <c r="C344" s="1" t="s">
        <v>19</v>
      </c>
      <c r="D344" s="1">
        <v>875</v>
      </c>
      <c r="E344" s="11" t="s">
        <v>52</v>
      </c>
      <c r="F344" s="1">
        <v>428</v>
      </c>
      <c r="G344" s="1">
        <v>428</v>
      </c>
      <c r="J344" s="1" t="s">
        <v>12</v>
      </c>
      <c r="K344" s="10"/>
    </row>
    <row r="345" spans="1:11">
      <c r="A345" s="9">
        <v>46108</v>
      </c>
      <c r="B345" s="1" t="s">
        <v>42</v>
      </c>
      <c r="C345" s="1" t="s">
        <v>19</v>
      </c>
      <c r="D345" s="1">
        <v>807</v>
      </c>
      <c r="E345" s="11" t="s">
        <v>53</v>
      </c>
      <c r="F345" s="1">
        <v>272</v>
      </c>
      <c r="G345" s="1">
        <v>272</v>
      </c>
      <c r="J345" s="1" t="s">
        <v>12</v>
      </c>
      <c r="K345" s="10"/>
    </row>
    <row r="346" spans="1:11">
      <c r="A346" s="9">
        <v>46108</v>
      </c>
      <c r="B346" s="1" t="s">
        <v>42</v>
      </c>
      <c r="C346" s="1" t="s">
        <v>19</v>
      </c>
      <c r="D346" s="1">
        <v>807</v>
      </c>
      <c r="E346" s="11" t="s">
        <v>53</v>
      </c>
      <c r="F346" s="1">
        <v>296</v>
      </c>
      <c r="G346" s="1">
        <v>296</v>
      </c>
      <c r="J346" s="1" t="s">
        <v>12</v>
      </c>
      <c r="K346" s="10"/>
    </row>
    <row r="347" spans="1:11">
      <c r="A347" s="9">
        <v>46108</v>
      </c>
      <c r="B347" s="1" t="s">
        <v>43</v>
      </c>
      <c r="C347" s="1" t="s">
        <v>19</v>
      </c>
      <c r="D347" s="1">
        <v>809</v>
      </c>
      <c r="E347" s="11" t="s">
        <v>36</v>
      </c>
      <c r="F347" s="1">
        <v>416</v>
      </c>
      <c r="G347" s="1">
        <v>416</v>
      </c>
      <c r="J347" s="1" t="s">
        <v>12</v>
      </c>
      <c r="K347" s="10"/>
    </row>
    <row r="348" spans="1:11">
      <c r="A348" s="9">
        <v>46108</v>
      </c>
      <c r="B348" s="1" t="s">
        <v>43</v>
      </c>
      <c r="C348" s="1" t="s">
        <v>19</v>
      </c>
      <c r="D348" s="1">
        <v>835</v>
      </c>
      <c r="E348" s="11" t="s">
        <v>37</v>
      </c>
      <c r="F348" s="1">
        <v>152</v>
      </c>
      <c r="G348" s="1">
        <v>152</v>
      </c>
      <c r="J348" s="1" t="s">
        <v>12</v>
      </c>
      <c r="K348" s="10"/>
    </row>
    <row r="349" spans="1:11">
      <c r="A349" s="9">
        <v>46108</v>
      </c>
      <c r="B349" s="1" t="s">
        <v>43</v>
      </c>
      <c r="C349" s="1" t="s">
        <v>19</v>
      </c>
      <c r="D349" s="1">
        <v>857</v>
      </c>
      <c r="E349" s="11" t="s">
        <v>60</v>
      </c>
      <c r="F349" s="1">
        <v>388</v>
      </c>
      <c r="G349" s="1">
        <v>388</v>
      </c>
      <c r="J349" s="1" t="s">
        <v>12</v>
      </c>
      <c r="K349" s="10"/>
    </row>
    <row r="350" spans="1:11">
      <c r="A350" s="9">
        <v>46108</v>
      </c>
      <c r="B350" s="1" t="s">
        <v>41</v>
      </c>
      <c r="C350" s="1" t="s">
        <v>19</v>
      </c>
      <c r="D350" s="1">
        <v>880</v>
      </c>
      <c r="E350" s="11" t="s">
        <v>24</v>
      </c>
      <c r="F350" s="1">
        <v>828</v>
      </c>
      <c r="G350" s="1">
        <v>828</v>
      </c>
      <c r="J350" s="1" t="s">
        <v>12</v>
      </c>
      <c r="K350" s="10"/>
    </row>
    <row r="351" spans="1:11">
      <c r="A351" s="9">
        <v>46108</v>
      </c>
      <c r="B351" s="1" t="s">
        <v>41</v>
      </c>
      <c r="C351" s="1" t="s">
        <v>19</v>
      </c>
      <c r="D351" s="1">
        <v>850</v>
      </c>
      <c r="E351" s="11" t="s">
        <v>56</v>
      </c>
      <c r="F351" s="1">
        <v>144</v>
      </c>
      <c r="G351" s="1">
        <v>144</v>
      </c>
      <c r="J351" s="1" t="s">
        <v>12</v>
      </c>
      <c r="K351" s="10"/>
    </row>
    <row r="352" spans="1:11">
      <c r="A352" s="9">
        <v>46108</v>
      </c>
      <c r="B352" s="1" t="s">
        <v>41</v>
      </c>
      <c r="C352" s="1" t="s">
        <v>19</v>
      </c>
      <c r="D352" s="1">
        <v>827</v>
      </c>
      <c r="E352" s="11" t="s">
        <v>66</v>
      </c>
      <c r="F352" s="1">
        <v>348</v>
      </c>
      <c r="G352" s="1">
        <v>348</v>
      </c>
      <c r="J352" s="1" t="s">
        <v>12</v>
      </c>
      <c r="K352" s="10"/>
    </row>
    <row r="353" spans="1:11">
      <c r="A353" s="9">
        <v>46109</v>
      </c>
      <c r="B353" s="1" t="s">
        <v>42</v>
      </c>
      <c r="C353" s="1" t="s">
        <v>19</v>
      </c>
      <c r="D353" s="1">
        <v>856</v>
      </c>
      <c r="E353" s="11" t="s">
        <v>54</v>
      </c>
      <c r="F353" s="1">
        <v>660</v>
      </c>
      <c r="G353" s="1">
        <v>660</v>
      </c>
      <c r="J353" s="1" t="s">
        <v>12</v>
      </c>
      <c r="K353" s="10">
        <f>SUM(G353:G356,G360:G361,G363)</f>
        <v>2756</v>
      </c>
    </row>
    <row r="354" spans="1:11">
      <c r="A354" s="9">
        <v>46109</v>
      </c>
      <c r="B354" s="1" t="s">
        <v>42</v>
      </c>
      <c r="C354" s="1" t="s">
        <v>19</v>
      </c>
      <c r="D354" s="1">
        <v>875</v>
      </c>
      <c r="E354" s="11" t="s">
        <v>52</v>
      </c>
      <c r="F354" s="1">
        <v>476</v>
      </c>
      <c r="G354" s="1">
        <v>476</v>
      </c>
      <c r="J354" s="1" t="s">
        <v>12</v>
      </c>
      <c r="K354" s="10"/>
    </row>
    <row r="355" spans="1:11">
      <c r="A355" s="9">
        <v>46109</v>
      </c>
      <c r="B355" s="1" t="s">
        <v>43</v>
      </c>
      <c r="C355" s="1" t="s">
        <v>19</v>
      </c>
      <c r="D355" s="1">
        <v>838</v>
      </c>
      <c r="E355" s="11" t="s">
        <v>63</v>
      </c>
      <c r="F355" s="1">
        <v>448</v>
      </c>
      <c r="G355" s="1">
        <v>448</v>
      </c>
      <c r="J355" s="1" t="s">
        <v>12</v>
      </c>
      <c r="K355" s="10"/>
    </row>
    <row r="356" spans="1:11">
      <c r="A356" s="9">
        <v>46109</v>
      </c>
      <c r="B356" s="1" t="s">
        <v>43</v>
      </c>
      <c r="C356" s="1" t="s">
        <v>19</v>
      </c>
      <c r="D356" s="1">
        <v>809</v>
      </c>
      <c r="E356" s="11" t="s">
        <v>36</v>
      </c>
      <c r="F356" s="1">
        <v>472</v>
      </c>
      <c r="G356" s="1">
        <v>472</v>
      </c>
      <c r="J356" s="1" t="s">
        <v>12</v>
      </c>
      <c r="K356" s="10"/>
    </row>
    <row r="357" spans="1:11">
      <c r="A357" s="9">
        <v>46109</v>
      </c>
      <c r="B357" s="1" t="s">
        <v>41</v>
      </c>
      <c r="C357" s="1" t="s">
        <v>19</v>
      </c>
      <c r="D357" s="1">
        <v>817</v>
      </c>
      <c r="E357" s="11" t="s">
        <v>48</v>
      </c>
      <c r="F357" s="1">
        <v>444</v>
      </c>
      <c r="G357" s="1">
        <v>444</v>
      </c>
      <c r="J357" s="1" t="s">
        <v>12</v>
      </c>
      <c r="K357" s="10"/>
    </row>
    <row r="358" spans="1:11">
      <c r="A358" s="9">
        <v>46109</v>
      </c>
      <c r="B358" s="1" t="s">
        <v>41</v>
      </c>
      <c r="C358" s="1" t="s">
        <v>19</v>
      </c>
      <c r="D358" s="1">
        <v>858</v>
      </c>
      <c r="E358" s="11" t="s">
        <v>57</v>
      </c>
      <c r="F358" s="1">
        <v>352</v>
      </c>
      <c r="G358" s="1">
        <v>352</v>
      </c>
      <c r="J358" s="1" t="s">
        <v>12</v>
      </c>
      <c r="K358" s="10"/>
    </row>
    <row r="359" spans="1:11">
      <c r="A359" s="9">
        <v>46109</v>
      </c>
      <c r="B359" s="1" t="s">
        <v>41</v>
      </c>
      <c r="C359" s="1" t="s">
        <v>19</v>
      </c>
      <c r="D359" s="1">
        <v>865</v>
      </c>
      <c r="E359" s="11" t="s">
        <v>22</v>
      </c>
      <c r="F359" s="1">
        <v>400</v>
      </c>
      <c r="G359" s="1">
        <v>400</v>
      </c>
      <c r="J359" s="1" t="s">
        <v>12</v>
      </c>
      <c r="K359" s="10"/>
    </row>
    <row r="360" spans="1:11">
      <c r="A360" s="9">
        <v>46109</v>
      </c>
      <c r="B360" s="1" t="s">
        <v>41</v>
      </c>
      <c r="C360" s="1" t="s">
        <v>19</v>
      </c>
      <c r="D360" s="1">
        <v>867</v>
      </c>
      <c r="E360" s="11" t="s">
        <v>65</v>
      </c>
      <c r="F360" s="1">
        <v>264</v>
      </c>
      <c r="G360" s="1">
        <v>264</v>
      </c>
      <c r="J360" s="1" t="s">
        <v>12</v>
      </c>
      <c r="K360" s="10"/>
    </row>
    <row r="361" spans="1:11">
      <c r="A361" s="9">
        <v>46109</v>
      </c>
      <c r="B361" s="1" t="s">
        <v>41</v>
      </c>
      <c r="C361" s="1" t="s">
        <v>19</v>
      </c>
      <c r="D361" s="1">
        <v>880</v>
      </c>
      <c r="E361" s="11" t="s">
        <v>24</v>
      </c>
      <c r="F361" s="1">
        <v>8</v>
      </c>
      <c r="G361" s="1">
        <v>8</v>
      </c>
      <c r="J361" s="1" t="s">
        <v>12</v>
      </c>
      <c r="K361" s="10"/>
    </row>
    <row r="362" spans="1:11">
      <c r="A362" s="9">
        <v>46109</v>
      </c>
      <c r="B362" s="1" t="s">
        <v>42</v>
      </c>
      <c r="C362" s="1" t="s">
        <v>19</v>
      </c>
      <c r="D362" s="1">
        <v>856</v>
      </c>
      <c r="E362" s="11" t="s">
        <v>54</v>
      </c>
      <c r="F362" s="1">
        <v>436</v>
      </c>
      <c r="G362" s="1">
        <v>436</v>
      </c>
      <c r="J362" s="1" t="s">
        <v>12</v>
      </c>
      <c r="K362" s="10"/>
    </row>
    <row r="363" spans="1:11">
      <c r="A363" s="9">
        <v>46109</v>
      </c>
      <c r="B363" s="1" t="s">
        <v>41</v>
      </c>
      <c r="C363" s="1" t="s">
        <v>19</v>
      </c>
      <c r="D363" s="1">
        <v>817</v>
      </c>
      <c r="E363" s="11" t="s">
        <v>48</v>
      </c>
      <c r="F363" s="1">
        <v>428</v>
      </c>
      <c r="G363" s="1">
        <v>428</v>
      </c>
      <c r="J363" s="1" t="s">
        <v>12</v>
      </c>
      <c r="K363" s="10"/>
    </row>
    <row r="364" spans="1:11">
      <c r="A364" s="9">
        <v>46110</v>
      </c>
      <c r="B364" s="1" t="s">
        <v>43</v>
      </c>
      <c r="C364" s="1" t="s">
        <v>19</v>
      </c>
      <c r="D364" s="1">
        <v>809</v>
      </c>
      <c r="E364" s="11" t="s">
        <v>36</v>
      </c>
      <c r="F364" s="1">
        <v>492</v>
      </c>
      <c r="G364" s="1">
        <v>492</v>
      </c>
      <c r="J364" s="1" t="s">
        <v>12</v>
      </c>
      <c r="K364" s="10">
        <f>SUM(G364,G367,G369:G372)</f>
        <v>2671</v>
      </c>
    </row>
    <row r="365" spans="1:11">
      <c r="A365" s="9">
        <v>46110</v>
      </c>
      <c r="B365" s="1" t="s">
        <v>41</v>
      </c>
      <c r="C365" s="1" t="s">
        <v>19</v>
      </c>
      <c r="D365" s="1">
        <v>813</v>
      </c>
      <c r="E365" s="11" t="s">
        <v>38</v>
      </c>
      <c r="F365" s="1">
        <v>270</v>
      </c>
      <c r="G365" s="1">
        <v>270</v>
      </c>
      <c r="J365" s="1" t="s">
        <v>12</v>
      </c>
      <c r="K365" s="10"/>
    </row>
    <row r="366" spans="1:11">
      <c r="A366" s="9">
        <v>46110</v>
      </c>
      <c r="B366" s="1" t="s">
        <v>41</v>
      </c>
      <c r="C366" s="1" t="s">
        <v>19</v>
      </c>
      <c r="D366" s="1">
        <v>609</v>
      </c>
      <c r="E366" s="11" t="s">
        <v>55</v>
      </c>
      <c r="F366" s="1">
        <v>246</v>
      </c>
      <c r="G366" s="1">
        <v>246</v>
      </c>
      <c r="J366" s="1" t="s">
        <v>12</v>
      </c>
      <c r="K366" s="10"/>
    </row>
    <row r="367" spans="1:11">
      <c r="A367" s="9">
        <v>46110</v>
      </c>
      <c r="B367" s="1" t="s">
        <v>41</v>
      </c>
      <c r="C367" s="1" t="s">
        <v>19</v>
      </c>
      <c r="D367" s="1">
        <v>863</v>
      </c>
      <c r="E367" s="11" t="s">
        <v>46</v>
      </c>
      <c r="F367" s="1">
        <v>312</v>
      </c>
      <c r="G367" s="1">
        <v>312</v>
      </c>
      <c r="J367" s="1" t="s">
        <v>12</v>
      </c>
      <c r="K367" s="10"/>
    </row>
    <row r="368" spans="1:11">
      <c r="A368" s="9">
        <v>46110</v>
      </c>
      <c r="B368" s="1" t="s">
        <v>41</v>
      </c>
      <c r="C368" s="1" t="s">
        <v>19</v>
      </c>
      <c r="D368" s="1">
        <v>861</v>
      </c>
      <c r="E368" s="11" t="s">
        <v>45</v>
      </c>
      <c r="F368" s="1">
        <v>195</v>
      </c>
      <c r="G368" s="1">
        <v>195</v>
      </c>
      <c r="J368" s="1" t="s">
        <v>12</v>
      </c>
      <c r="K368" s="10"/>
    </row>
    <row r="369" spans="1:11">
      <c r="A369" s="9">
        <v>46110</v>
      </c>
      <c r="B369" s="1" t="s">
        <v>41</v>
      </c>
      <c r="C369" s="1" t="s">
        <v>19</v>
      </c>
      <c r="D369" s="1">
        <v>880</v>
      </c>
      <c r="E369" s="11" t="s">
        <v>24</v>
      </c>
      <c r="F369" s="1">
        <v>676</v>
      </c>
      <c r="G369" s="1">
        <v>676</v>
      </c>
      <c r="J369" s="1" t="s">
        <v>12</v>
      </c>
      <c r="K369" s="10"/>
    </row>
    <row r="370" spans="1:11">
      <c r="A370" s="9">
        <v>46110</v>
      </c>
      <c r="B370" s="1" t="s">
        <v>41</v>
      </c>
      <c r="C370" s="1" t="s">
        <v>19</v>
      </c>
      <c r="D370" s="1">
        <v>896</v>
      </c>
      <c r="E370" s="11" t="s">
        <v>25</v>
      </c>
      <c r="F370" s="1">
        <v>824</v>
      </c>
      <c r="G370" s="1">
        <v>824</v>
      </c>
      <c r="J370" s="1" t="s">
        <v>12</v>
      </c>
      <c r="K370" s="10"/>
    </row>
    <row r="371" spans="1:11">
      <c r="A371" s="9">
        <v>46110</v>
      </c>
      <c r="B371" s="1" t="s">
        <v>41</v>
      </c>
      <c r="C371" s="1" t="s">
        <v>19</v>
      </c>
      <c r="D371" s="1">
        <v>865</v>
      </c>
      <c r="E371" s="11" t="s">
        <v>22</v>
      </c>
      <c r="F371" s="1">
        <v>360</v>
      </c>
      <c r="G371" s="1">
        <v>360</v>
      </c>
      <c r="J371" s="1" t="s">
        <v>12</v>
      </c>
      <c r="K371" s="10"/>
    </row>
    <row r="372" spans="1:11">
      <c r="A372" s="9">
        <v>46110</v>
      </c>
      <c r="B372" s="1" t="s">
        <v>41</v>
      </c>
      <c r="C372" s="1" t="s">
        <v>19</v>
      </c>
      <c r="D372" s="1">
        <v>865</v>
      </c>
      <c r="E372" s="11" t="s">
        <v>22</v>
      </c>
      <c r="F372" s="1">
        <v>7</v>
      </c>
      <c r="G372" s="1">
        <v>7</v>
      </c>
      <c r="J372" s="1" t="s">
        <v>12</v>
      </c>
      <c r="K372" s="10"/>
    </row>
    <row r="373" spans="1:11">
      <c r="A373" s="9">
        <v>46111</v>
      </c>
      <c r="B373" s="1" t="s">
        <v>41</v>
      </c>
      <c r="C373" s="1" t="s">
        <v>19</v>
      </c>
      <c r="D373" s="1">
        <v>859</v>
      </c>
      <c r="E373" s="11" t="s">
        <v>20</v>
      </c>
      <c r="F373" s="1">
        <v>708</v>
      </c>
      <c r="G373" s="1">
        <v>708</v>
      </c>
      <c r="J373" s="1" t="s">
        <v>12</v>
      </c>
      <c r="K373" s="10">
        <f>SUM(G373:G379,G383:G384)</f>
        <v>4296</v>
      </c>
    </row>
    <row r="374" spans="1:11">
      <c r="A374" s="9">
        <v>46111</v>
      </c>
      <c r="B374" s="1" t="s">
        <v>41</v>
      </c>
      <c r="C374" s="1" t="s">
        <v>19</v>
      </c>
      <c r="D374" s="1">
        <v>861</v>
      </c>
      <c r="E374" s="11" t="s">
        <v>45</v>
      </c>
      <c r="F374" s="1">
        <v>726</v>
      </c>
      <c r="G374" s="1">
        <v>726</v>
      </c>
      <c r="J374" s="1" t="s">
        <v>12</v>
      </c>
      <c r="K374" s="10"/>
    </row>
    <row r="375" spans="1:11">
      <c r="A375" s="9">
        <v>46111</v>
      </c>
      <c r="B375" s="1" t="s">
        <v>41</v>
      </c>
      <c r="C375" s="1" t="s">
        <v>19</v>
      </c>
      <c r="D375" s="1">
        <v>853</v>
      </c>
      <c r="E375" s="11" t="s">
        <v>49</v>
      </c>
      <c r="F375" s="1">
        <v>432</v>
      </c>
      <c r="G375" s="1">
        <v>432</v>
      </c>
      <c r="J375" s="1" t="s">
        <v>12</v>
      </c>
      <c r="K375" s="10"/>
    </row>
    <row r="376" spans="1:11">
      <c r="A376" s="9">
        <v>46111</v>
      </c>
      <c r="B376" s="1" t="s">
        <v>42</v>
      </c>
      <c r="C376" s="1" t="s">
        <v>19</v>
      </c>
      <c r="D376" s="1">
        <v>856</v>
      </c>
      <c r="E376" s="11" t="s">
        <v>54</v>
      </c>
      <c r="F376" s="1">
        <v>424</v>
      </c>
      <c r="G376" s="1">
        <v>424</v>
      </c>
      <c r="J376" s="1" t="s">
        <v>12</v>
      </c>
      <c r="K376" s="10"/>
    </row>
    <row r="377" spans="1:11">
      <c r="A377" s="9">
        <v>46111</v>
      </c>
      <c r="B377" s="1" t="s">
        <v>42</v>
      </c>
      <c r="C377" s="1" t="s">
        <v>19</v>
      </c>
      <c r="D377" s="1">
        <v>875</v>
      </c>
      <c r="E377" s="11" t="s">
        <v>52</v>
      </c>
      <c r="F377" s="1">
        <v>388</v>
      </c>
      <c r="G377" s="1">
        <v>388</v>
      </c>
      <c r="J377" s="1" t="s">
        <v>12</v>
      </c>
      <c r="K377" s="10"/>
    </row>
    <row r="378" spans="1:11">
      <c r="A378" s="9">
        <v>46111</v>
      </c>
      <c r="B378" s="1" t="s">
        <v>41</v>
      </c>
      <c r="C378" s="1" t="s">
        <v>19</v>
      </c>
      <c r="D378" s="1">
        <v>609</v>
      </c>
      <c r="E378" s="11" t="s">
        <v>55</v>
      </c>
      <c r="F378" s="1">
        <v>712</v>
      </c>
      <c r="G378" s="1">
        <v>712</v>
      </c>
      <c r="J378" s="1" t="s">
        <v>12</v>
      </c>
      <c r="K378" s="10"/>
    </row>
    <row r="379" spans="1:11">
      <c r="A379" s="9">
        <v>46111</v>
      </c>
      <c r="B379" s="1" t="s">
        <v>41</v>
      </c>
      <c r="C379" s="1" t="s">
        <v>19</v>
      </c>
      <c r="D379" s="1">
        <v>818</v>
      </c>
      <c r="E379" s="11" t="s">
        <v>47</v>
      </c>
      <c r="F379" s="1">
        <v>352</v>
      </c>
      <c r="G379" s="1">
        <v>352</v>
      </c>
      <c r="J379" s="1" t="s">
        <v>12</v>
      </c>
      <c r="K379" s="10"/>
    </row>
    <row r="380" spans="1:11">
      <c r="A380" s="9">
        <v>46111</v>
      </c>
      <c r="B380" s="1" t="s">
        <v>41</v>
      </c>
      <c r="C380" s="1" t="s">
        <v>19</v>
      </c>
      <c r="D380" s="1">
        <v>880</v>
      </c>
      <c r="E380" s="11" t="s">
        <v>24</v>
      </c>
      <c r="F380" s="1">
        <v>924</v>
      </c>
      <c r="G380" s="1">
        <v>924</v>
      </c>
      <c r="J380" s="1" t="s">
        <v>12</v>
      </c>
      <c r="K380" s="10"/>
    </row>
    <row r="381" spans="1:11">
      <c r="A381" s="9">
        <v>46111</v>
      </c>
      <c r="B381" s="1" t="s">
        <v>41</v>
      </c>
      <c r="C381" s="1" t="s">
        <v>19</v>
      </c>
      <c r="D381" s="1">
        <v>865</v>
      </c>
      <c r="E381" s="11" t="s">
        <v>22</v>
      </c>
      <c r="F381" s="1">
        <v>804</v>
      </c>
      <c r="G381" s="1">
        <v>804</v>
      </c>
      <c r="J381" s="1" t="s">
        <v>12</v>
      </c>
      <c r="K381" s="10"/>
    </row>
    <row r="382" spans="1:11">
      <c r="A382" s="9">
        <v>46111</v>
      </c>
      <c r="B382" s="1" t="s">
        <v>43</v>
      </c>
      <c r="C382" s="1" t="s">
        <v>19</v>
      </c>
      <c r="D382" s="1">
        <v>809</v>
      </c>
      <c r="E382" s="11" t="s">
        <v>36</v>
      </c>
      <c r="F382" s="1">
        <v>522</v>
      </c>
      <c r="G382" s="1">
        <v>522</v>
      </c>
      <c r="J382" s="1" t="s">
        <v>12</v>
      </c>
      <c r="K382" s="10"/>
    </row>
    <row r="383" spans="1:11">
      <c r="A383" s="9">
        <v>46111</v>
      </c>
      <c r="B383" s="1" t="s">
        <v>43</v>
      </c>
      <c r="C383" s="1" t="s">
        <v>19</v>
      </c>
      <c r="D383" s="1">
        <v>885</v>
      </c>
      <c r="E383" s="11" t="s">
        <v>59</v>
      </c>
      <c r="F383" s="1">
        <v>332</v>
      </c>
      <c r="G383" s="1">
        <v>332</v>
      </c>
      <c r="J383" s="1" t="s">
        <v>12</v>
      </c>
      <c r="K383" s="10"/>
    </row>
    <row r="384" spans="1:11">
      <c r="A384" s="9">
        <v>46111</v>
      </c>
      <c r="B384" s="1" t="s">
        <v>43</v>
      </c>
      <c r="C384" s="1" t="s">
        <v>19</v>
      </c>
      <c r="D384" s="1">
        <v>835</v>
      </c>
      <c r="E384" s="11" t="s">
        <v>37</v>
      </c>
      <c r="F384" s="1">
        <v>222</v>
      </c>
      <c r="G384" s="1">
        <v>222</v>
      </c>
      <c r="J384" s="1" t="s">
        <v>12</v>
      </c>
      <c r="K384" s="10"/>
    </row>
    <row r="385" spans="1:12">
      <c r="A385" s="9">
        <v>46111</v>
      </c>
      <c r="B385" s="1" t="s">
        <v>41</v>
      </c>
      <c r="C385" s="1" t="s">
        <v>19</v>
      </c>
      <c r="D385" s="1">
        <v>817</v>
      </c>
      <c r="E385" s="11" t="s">
        <v>48</v>
      </c>
      <c r="F385" s="1">
        <v>248</v>
      </c>
      <c r="G385" s="1">
        <v>248</v>
      </c>
      <c r="J385" s="1" t="s">
        <v>12</v>
      </c>
      <c r="K385" s="10"/>
    </row>
    <row r="386" spans="1:12">
      <c r="A386" s="9">
        <v>46112</v>
      </c>
      <c r="B386" s="1" t="s">
        <v>41</v>
      </c>
      <c r="C386" s="1" t="s">
        <v>19</v>
      </c>
      <c r="D386" s="1">
        <v>867</v>
      </c>
      <c r="E386" s="11" t="s">
        <v>65</v>
      </c>
      <c r="F386" s="1">
        <v>327</v>
      </c>
      <c r="G386" s="1">
        <v>327</v>
      </c>
      <c r="J386" s="1" t="s">
        <v>12</v>
      </c>
      <c r="K386" s="10">
        <f>SUM(G386:G394)</f>
        <v>2781</v>
      </c>
    </row>
    <row r="387" spans="1:12">
      <c r="A387" s="9">
        <v>46112</v>
      </c>
      <c r="B387" s="1" t="s">
        <v>41</v>
      </c>
      <c r="C387" s="1" t="s">
        <v>19</v>
      </c>
      <c r="D387" s="1">
        <v>859</v>
      </c>
      <c r="E387" s="11" t="s">
        <v>20</v>
      </c>
      <c r="F387" s="1">
        <v>438</v>
      </c>
      <c r="G387" s="1">
        <v>438</v>
      </c>
      <c r="J387" s="1" t="s">
        <v>12</v>
      </c>
      <c r="K387" s="10"/>
    </row>
    <row r="388" spans="1:12">
      <c r="A388" s="9">
        <v>46112</v>
      </c>
      <c r="B388" s="1" t="s">
        <v>41</v>
      </c>
      <c r="C388" s="1" t="s">
        <v>19</v>
      </c>
      <c r="D388" s="1">
        <v>851</v>
      </c>
      <c r="E388" s="11" t="s">
        <v>21</v>
      </c>
      <c r="F388" s="1">
        <v>135</v>
      </c>
      <c r="G388" s="1">
        <v>135</v>
      </c>
      <c r="J388" s="1" t="s">
        <v>12</v>
      </c>
      <c r="K388" s="10"/>
    </row>
    <row r="389" spans="1:12">
      <c r="A389" s="9">
        <v>46112</v>
      </c>
      <c r="B389" s="1" t="s">
        <v>41</v>
      </c>
      <c r="C389" s="1" t="s">
        <v>19</v>
      </c>
      <c r="D389" s="1">
        <v>820</v>
      </c>
      <c r="E389" s="11" t="s">
        <v>51</v>
      </c>
      <c r="F389" s="1">
        <v>70</v>
      </c>
      <c r="G389" s="1">
        <v>70</v>
      </c>
      <c r="J389" s="1" t="s">
        <v>12</v>
      </c>
      <c r="K389" s="10"/>
    </row>
    <row r="390" spans="1:12">
      <c r="A390" s="9">
        <v>46112</v>
      </c>
      <c r="B390" s="1" t="s">
        <v>41</v>
      </c>
      <c r="C390" s="1" t="s">
        <v>19</v>
      </c>
      <c r="D390" s="1">
        <v>609</v>
      </c>
      <c r="E390" s="11" t="s">
        <v>55</v>
      </c>
      <c r="F390" s="1">
        <v>351</v>
      </c>
      <c r="G390" s="1">
        <v>351</v>
      </c>
      <c r="J390" s="1" t="s">
        <v>12</v>
      </c>
      <c r="K390" s="10"/>
    </row>
    <row r="391" spans="1:12">
      <c r="A391" s="9">
        <v>46112</v>
      </c>
      <c r="B391" s="1" t="s">
        <v>41</v>
      </c>
      <c r="C391" s="1" t="s">
        <v>19</v>
      </c>
      <c r="D391" s="1">
        <v>817</v>
      </c>
      <c r="E391" s="11" t="s">
        <v>48</v>
      </c>
      <c r="F391" s="1">
        <v>255</v>
      </c>
      <c r="G391" s="1">
        <v>255</v>
      </c>
      <c r="J391" s="1" t="s">
        <v>12</v>
      </c>
      <c r="K391" s="10"/>
    </row>
    <row r="392" spans="1:12">
      <c r="A392" s="9">
        <v>46112</v>
      </c>
      <c r="B392" s="1" t="s">
        <v>41</v>
      </c>
      <c r="C392" s="1" t="s">
        <v>19</v>
      </c>
      <c r="D392" s="1">
        <v>861</v>
      </c>
      <c r="E392" s="11" t="s">
        <v>45</v>
      </c>
      <c r="F392" s="1">
        <v>120</v>
      </c>
      <c r="G392" s="1">
        <v>120</v>
      </c>
      <c r="J392" s="1" t="s">
        <v>12</v>
      </c>
      <c r="K392" s="10"/>
    </row>
    <row r="393" spans="1:12">
      <c r="A393" s="9">
        <v>46112</v>
      </c>
      <c r="B393" s="1" t="s">
        <v>41</v>
      </c>
      <c r="C393" s="1" t="s">
        <v>19</v>
      </c>
      <c r="D393" s="1">
        <v>865</v>
      </c>
      <c r="E393" s="11" t="s">
        <v>22</v>
      </c>
      <c r="F393" s="1">
        <v>625</v>
      </c>
      <c r="G393" s="1">
        <v>625</v>
      </c>
      <c r="J393" s="1" t="s">
        <v>12</v>
      </c>
      <c r="K393" s="10"/>
    </row>
    <row r="394" spans="1:12">
      <c r="A394" s="9">
        <v>46112</v>
      </c>
      <c r="B394" s="1" t="s">
        <v>41</v>
      </c>
      <c r="C394" s="1" t="s">
        <v>19</v>
      </c>
      <c r="D394" s="1">
        <v>896</v>
      </c>
      <c r="E394" s="11" t="s">
        <v>25</v>
      </c>
      <c r="F394" s="1">
        <v>460</v>
      </c>
      <c r="G394" s="1">
        <v>460</v>
      </c>
      <c r="J394" s="1" t="s">
        <v>12</v>
      </c>
      <c r="K394" s="10"/>
    </row>
    <row r="395" spans="1:12">
      <c r="K395" s="1" t="s">
        <v>73</v>
      </c>
      <c r="L395">
        <f>SUM(K2:K394)</f>
        <v>120391</v>
      </c>
    </row>
    <row r="396" spans="1:12">
      <c r="K396" s="1" t="s">
        <v>74</v>
      </c>
      <c r="L396">
        <v>8827</v>
      </c>
    </row>
  </sheetData>
  <mergeCells count="31">
    <mergeCell ref="K2:K16"/>
    <mergeCell ref="K17:K24"/>
    <mergeCell ref="K25:K37"/>
    <mergeCell ref="K38:K45"/>
    <mergeCell ref="K46:K59"/>
    <mergeCell ref="K60:K68"/>
    <mergeCell ref="K69:K80"/>
    <mergeCell ref="K81:K97"/>
    <mergeCell ref="K98:K107"/>
    <mergeCell ref="K108:K121"/>
    <mergeCell ref="K122:K134"/>
    <mergeCell ref="K135:K155"/>
    <mergeCell ref="K156:K169"/>
    <mergeCell ref="K170:K179"/>
    <mergeCell ref="K180:K191"/>
    <mergeCell ref="K192:K206"/>
    <mergeCell ref="K207:K221"/>
    <mergeCell ref="K222:K234"/>
    <mergeCell ref="K235:K247"/>
    <mergeCell ref="K248:K258"/>
    <mergeCell ref="K259:K269"/>
    <mergeCell ref="K270:K286"/>
    <mergeCell ref="K287:K302"/>
    <mergeCell ref="K303:K315"/>
    <mergeCell ref="K316:K326"/>
    <mergeCell ref="K327:K340"/>
    <mergeCell ref="K341:K352"/>
    <mergeCell ref="K353:K363"/>
    <mergeCell ref="K364:K372"/>
    <mergeCell ref="K373:K385"/>
    <mergeCell ref="K386:K394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7"/>
  <sheetViews>
    <sheetView tabSelected="1" zoomScale="80" zoomScaleNormal="80" workbookViewId="0">
      <pane ySplit="1" topLeftCell="A2" activePane="bottomLeft" state="frozen"/>
      <selection/>
      <selection pane="bottomLeft" activeCell="A9" sqref="A9"/>
    </sheetView>
  </sheetViews>
  <sheetFormatPr defaultColWidth="10" defaultRowHeight="13.5"/>
  <cols>
    <col min="1" max="4" width="10" style="1" customWidth="1"/>
    <col min="5" max="5" width="10" style="2" customWidth="1"/>
    <col min="6" max="11" width="10" style="1" customWidth="1"/>
  </cols>
  <sheetData>
    <row r="1" spans="1:52">
      <c r="A1" s="3" t="s">
        <v>0</v>
      </c>
      <c r="B1" s="3" t="s">
        <v>40</v>
      </c>
      <c r="C1" s="4" t="s">
        <v>1</v>
      </c>
      <c r="D1" s="4" t="s">
        <v>2</v>
      </c>
      <c r="E1" s="5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6" t="s">
        <v>9</v>
      </c>
      <c r="L1" s="7"/>
      <c r="M1" s="7"/>
      <c r="N1" s="7"/>
      <c r="O1" s="7"/>
      <c r="P1" s="7"/>
      <c r="Q1" s="7"/>
      <c r="R1" s="7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</row>
    <row r="2" spans="1:52">
      <c r="A2" s="9">
        <v>46113</v>
      </c>
      <c r="B2" s="1" t="s">
        <v>42</v>
      </c>
      <c r="C2" s="1" t="s">
        <v>19</v>
      </c>
      <c r="D2" s="1">
        <v>875</v>
      </c>
      <c r="E2" s="2" t="str">
        <f>D2&amp;"#"</f>
        <v>875#</v>
      </c>
      <c r="F2" s="1">
        <v>352</v>
      </c>
      <c r="G2" s="1">
        <v>352</v>
      </c>
      <c r="J2" s="1" t="s">
        <v>12</v>
      </c>
      <c r="K2" s="10">
        <f>SUM(G2:G17)</f>
        <v>5036</v>
      </c>
    </row>
    <row r="3" spans="1:52">
      <c r="A3" s="9">
        <v>46113</v>
      </c>
      <c r="B3" s="1" t="s">
        <v>42</v>
      </c>
      <c r="C3" s="1" t="s">
        <v>19</v>
      </c>
      <c r="D3" s="1">
        <v>856</v>
      </c>
      <c r="E3" s="11" t="s">
        <v>54</v>
      </c>
      <c r="F3" s="1">
        <v>484</v>
      </c>
      <c r="G3" s="1">
        <v>484</v>
      </c>
      <c r="J3" s="1" t="s">
        <v>12</v>
      </c>
      <c r="K3" s="10"/>
    </row>
    <row r="4" spans="1:52">
      <c r="A4" s="9">
        <v>46113</v>
      </c>
      <c r="B4" s="1" t="s">
        <v>42</v>
      </c>
      <c r="C4" s="1" t="s">
        <v>19</v>
      </c>
      <c r="D4" s="1">
        <v>807</v>
      </c>
      <c r="E4" s="11" t="s">
        <v>53</v>
      </c>
      <c r="F4" s="1">
        <v>105</v>
      </c>
      <c r="G4" s="1">
        <v>105</v>
      </c>
      <c r="J4" s="1" t="s">
        <v>12</v>
      </c>
      <c r="K4" s="10"/>
    </row>
    <row r="5" spans="1:52">
      <c r="A5" s="9">
        <v>46113</v>
      </c>
      <c r="B5" s="1" t="s">
        <v>42</v>
      </c>
      <c r="C5" s="1" t="s">
        <v>19</v>
      </c>
      <c r="D5" s="1">
        <v>9875</v>
      </c>
      <c r="E5" s="11" t="s">
        <v>62</v>
      </c>
      <c r="F5" s="1">
        <v>118</v>
      </c>
      <c r="G5" s="1">
        <v>118</v>
      </c>
      <c r="J5" s="1" t="s">
        <v>12</v>
      </c>
      <c r="K5" s="10"/>
    </row>
    <row r="6" spans="1:52">
      <c r="A6" s="9">
        <v>46113</v>
      </c>
      <c r="B6" s="1" t="s">
        <v>41</v>
      </c>
      <c r="C6" s="1" t="s">
        <v>19</v>
      </c>
      <c r="D6" s="1">
        <v>609</v>
      </c>
      <c r="E6" s="11" t="s">
        <v>55</v>
      </c>
      <c r="F6" s="1">
        <v>552</v>
      </c>
      <c r="G6" s="1">
        <v>552</v>
      </c>
      <c r="J6" s="1" t="s">
        <v>12</v>
      </c>
      <c r="K6" s="10"/>
    </row>
    <row r="7" spans="1:52">
      <c r="A7" s="9">
        <v>46113</v>
      </c>
      <c r="B7" s="1" t="s">
        <v>41</v>
      </c>
      <c r="C7" s="1" t="s">
        <v>19</v>
      </c>
      <c r="D7" s="1">
        <v>867</v>
      </c>
      <c r="E7" s="11" t="s">
        <v>65</v>
      </c>
      <c r="F7" s="1">
        <v>312</v>
      </c>
      <c r="G7" s="1">
        <v>312</v>
      </c>
      <c r="J7" s="1" t="s">
        <v>12</v>
      </c>
      <c r="K7" s="10"/>
    </row>
    <row r="8" spans="1:52">
      <c r="A8" s="9">
        <v>46113</v>
      </c>
      <c r="B8" s="1" t="s">
        <v>41</v>
      </c>
      <c r="C8" s="1" t="s">
        <v>19</v>
      </c>
      <c r="D8" s="1">
        <v>858</v>
      </c>
      <c r="E8" s="11" t="s">
        <v>57</v>
      </c>
      <c r="F8" s="1">
        <v>201</v>
      </c>
      <c r="G8" s="1">
        <v>201</v>
      </c>
      <c r="J8" s="1" t="s">
        <v>12</v>
      </c>
      <c r="K8" s="10"/>
    </row>
    <row r="9" spans="1:52">
      <c r="A9" s="9">
        <v>46113</v>
      </c>
      <c r="B9" s="1" t="s">
        <v>41</v>
      </c>
      <c r="C9" s="1" t="s">
        <v>19</v>
      </c>
      <c r="D9" s="1">
        <v>865</v>
      </c>
      <c r="E9" s="11" t="s">
        <v>22</v>
      </c>
      <c r="F9" s="1">
        <v>513</v>
      </c>
      <c r="G9" s="1">
        <v>513</v>
      </c>
      <c r="J9" s="1" t="s">
        <v>12</v>
      </c>
      <c r="K9" s="10"/>
    </row>
    <row r="10" spans="1:52">
      <c r="A10" s="9">
        <v>46113</v>
      </c>
      <c r="B10" s="1" t="s">
        <v>41</v>
      </c>
      <c r="C10" s="1" t="s">
        <v>19</v>
      </c>
      <c r="D10" s="1">
        <v>818</v>
      </c>
      <c r="E10" s="11" t="s">
        <v>47</v>
      </c>
      <c r="F10" s="1">
        <v>297</v>
      </c>
      <c r="G10" s="1">
        <v>297</v>
      </c>
      <c r="J10" s="1" t="s">
        <v>12</v>
      </c>
      <c r="K10" s="10"/>
    </row>
    <row r="11" spans="1:52">
      <c r="A11" s="9">
        <v>46113</v>
      </c>
      <c r="B11" s="1" t="s">
        <v>42</v>
      </c>
      <c r="C11" s="1" t="s">
        <v>19</v>
      </c>
      <c r="D11" s="1">
        <v>856</v>
      </c>
      <c r="E11" s="11" t="s">
        <v>54</v>
      </c>
      <c r="F11" s="1">
        <v>152</v>
      </c>
      <c r="G11" s="1">
        <v>152</v>
      </c>
      <c r="J11" s="1" t="s">
        <v>12</v>
      </c>
      <c r="K11" s="10"/>
    </row>
    <row r="12" spans="1:52">
      <c r="A12" s="9">
        <v>46113</v>
      </c>
      <c r="B12" s="1" t="s">
        <v>43</v>
      </c>
      <c r="C12" s="1" t="s">
        <v>19</v>
      </c>
      <c r="D12" s="1">
        <v>838</v>
      </c>
      <c r="E12" s="11" t="s">
        <v>63</v>
      </c>
      <c r="F12" s="1">
        <v>456</v>
      </c>
      <c r="G12" s="1">
        <v>456</v>
      </c>
      <c r="J12" s="1" t="s">
        <v>12</v>
      </c>
      <c r="K12" s="10"/>
    </row>
    <row r="13" spans="1:52">
      <c r="A13" s="9">
        <v>46113</v>
      </c>
      <c r="B13" s="1" t="s">
        <v>43</v>
      </c>
      <c r="C13" s="1" t="s">
        <v>19</v>
      </c>
      <c r="D13" s="1">
        <v>885</v>
      </c>
      <c r="E13" s="11" t="s">
        <v>59</v>
      </c>
      <c r="F13" s="1">
        <v>300</v>
      </c>
      <c r="G13" s="1">
        <v>300</v>
      </c>
      <c r="J13" s="1" t="s">
        <v>12</v>
      </c>
      <c r="K13" s="10"/>
    </row>
    <row r="14" spans="1:52">
      <c r="A14" s="9">
        <v>46113</v>
      </c>
      <c r="B14" s="1" t="s">
        <v>41</v>
      </c>
      <c r="C14" s="1" t="s">
        <v>19</v>
      </c>
      <c r="D14" s="1">
        <v>813</v>
      </c>
      <c r="E14" s="11" t="s">
        <v>38</v>
      </c>
      <c r="F14" s="1">
        <v>46</v>
      </c>
      <c r="G14" s="1">
        <v>46</v>
      </c>
      <c r="J14" s="1" t="s">
        <v>12</v>
      </c>
      <c r="K14" s="10"/>
    </row>
    <row r="15" spans="1:52">
      <c r="A15" s="9">
        <v>46113</v>
      </c>
      <c r="B15" s="1" t="s">
        <v>41</v>
      </c>
      <c r="C15" s="1" t="s">
        <v>19</v>
      </c>
      <c r="D15" s="1">
        <v>865</v>
      </c>
      <c r="E15" s="11" t="s">
        <v>22</v>
      </c>
      <c r="F15" s="1">
        <v>4</v>
      </c>
      <c r="G15" s="1">
        <v>4</v>
      </c>
      <c r="J15" s="1" t="s">
        <v>12</v>
      </c>
      <c r="K15" s="10"/>
    </row>
    <row r="16" spans="1:52">
      <c r="A16" s="9">
        <v>46113</v>
      </c>
      <c r="B16" s="1" t="s">
        <v>43</v>
      </c>
      <c r="C16" s="1" t="s">
        <v>19</v>
      </c>
      <c r="D16" s="1">
        <v>835</v>
      </c>
      <c r="E16" s="11" t="s">
        <v>37</v>
      </c>
      <c r="F16" s="1">
        <v>660</v>
      </c>
      <c r="G16" s="1">
        <v>660</v>
      </c>
      <c r="J16" s="1" t="s">
        <v>12</v>
      </c>
      <c r="K16" s="10"/>
    </row>
    <row r="17" spans="1:11">
      <c r="A17" s="9">
        <v>46113</v>
      </c>
      <c r="B17" s="1" t="s">
        <v>41</v>
      </c>
      <c r="C17" s="1" t="s">
        <v>19</v>
      </c>
      <c r="D17" s="1">
        <v>861</v>
      </c>
      <c r="E17" s="11" t="s">
        <v>45</v>
      </c>
      <c r="F17" s="1">
        <v>484</v>
      </c>
      <c r="G17" s="1">
        <v>484</v>
      </c>
      <c r="J17" s="1" t="s">
        <v>12</v>
      </c>
      <c r="K17" s="10"/>
    </row>
  </sheetData>
  <mergeCells count="1">
    <mergeCell ref="K2:K17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26年1月</vt:lpstr>
      <vt:lpstr>26年2月</vt:lpstr>
      <vt:lpstr>26年3月</vt:lpstr>
      <vt:lpstr>26年4月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Redmi K20 Pro</dc:creator>
  <cp:lastModifiedBy>Kwan</cp:lastModifiedBy>
  <dcterms:created xsi:type="dcterms:W3CDTF">2025-12-16T22:57:00Z</dcterms:created>
  <dcterms:modified xsi:type="dcterms:W3CDTF">2026-06-18T08:16:41Z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ACE856EC4A444FC89C8954D37F94C784_13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
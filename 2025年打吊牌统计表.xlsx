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firstSheet="4" activeTab="11"/>
  </bookViews>
  <sheets>
    <sheet name="25年12月" sheetId="1" r:id="rId1"/>
    <sheet name="25年11月" sheetId="2" r:id="rId2"/>
    <sheet name="25年10月" sheetId="3" r:id="rId3"/>
    <sheet name="25年9月" sheetId="4" r:id="rId4"/>
    <sheet name="25年8月" sheetId="5" r:id="rId5"/>
    <sheet name="25年7月" sheetId="6" r:id="rId6"/>
    <sheet name="25年6月" sheetId="7" r:id="rId7"/>
    <sheet name="25年5月" sheetId="8" r:id="rId8"/>
    <sheet name="25年4月" sheetId="9" r:id="rId9"/>
    <sheet name="25年3月" sheetId="10" r:id="rId10"/>
    <sheet name="25年2月" sheetId="11" r:id="rId11"/>
    <sheet name="25年1月" sheetId="12" r:id="rId12"/>
  </sheets>
  <definedNames>
    <definedName name="_xlnm._FilterDatabase" localSheetId="11" hidden="1">'25年1月'!$A$1:$I$34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<sst xmlns="http://schemas.openxmlformats.org/spreadsheetml/2006/main" count="5912" uniqueCount="161">
  <si>
    <r>
      <rPr>
        <b/>
        <sz val="11"/>
        <color rgb="FF08090C"/>
        <rFont val="宋体"/>
        <charset val="134"/>
      </rPr>
      <t>日期</t>
    </r>
  </si>
  <si>
    <r>
      <rPr>
        <b/>
        <sz val="11"/>
        <color rgb="FF08090C"/>
        <rFont val="宋体"/>
        <charset val="134"/>
      </rPr>
      <t>型号</t>
    </r>
  </si>
  <si>
    <t>型号#</t>
  </si>
  <si>
    <r>
      <rPr>
        <b/>
        <sz val="11"/>
        <color rgb="FF08090C"/>
        <rFont val="宋体"/>
        <charset val="134"/>
      </rPr>
      <t>目标数量</t>
    </r>
  </si>
  <si>
    <r>
      <rPr>
        <b/>
        <sz val="11"/>
        <color rgb="FF08090C"/>
        <rFont val="宋体"/>
        <charset val="134"/>
      </rPr>
      <t>实际数量</t>
    </r>
  </si>
  <si>
    <r>
      <rPr>
        <b/>
        <sz val="11"/>
        <color rgb="FF08090C"/>
        <rFont val="宋体"/>
        <charset val="134"/>
      </rPr>
      <t>差异数量</t>
    </r>
  </si>
  <si>
    <r>
      <rPr>
        <b/>
        <sz val="11"/>
        <color rgb="FF08090C"/>
        <rFont val="宋体"/>
        <charset val="134"/>
      </rPr>
      <t>历史库存</t>
    </r>
  </si>
  <si>
    <r>
      <rPr>
        <b/>
        <sz val="11"/>
        <color rgb="FF08090C"/>
        <rFont val="宋体"/>
        <charset val="134"/>
      </rPr>
      <t>状态</t>
    </r>
  </si>
  <si>
    <r>
      <rPr>
        <b/>
        <sz val="11"/>
        <color rgb="FF08090C"/>
        <rFont val="宋体"/>
        <charset val="134"/>
      </rPr>
      <t>小计</t>
    </r>
  </si>
  <si>
    <t>6639#</t>
  </si>
  <si>
    <t>已清</t>
  </si>
  <si>
    <t>909#</t>
  </si>
  <si>
    <t>625#</t>
  </si>
  <si>
    <t>981#</t>
  </si>
  <si>
    <t>1861#</t>
  </si>
  <si>
    <t>992#</t>
  </si>
  <si>
    <t>987#</t>
  </si>
  <si>
    <t>988#</t>
  </si>
  <si>
    <t>963#</t>
  </si>
  <si>
    <t>962#</t>
  </si>
  <si>
    <t>8839#</t>
  </si>
  <si>
    <t>659#</t>
  </si>
  <si>
    <t>910#</t>
  </si>
  <si>
    <t>908#</t>
  </si>
  <si>
    <t>845#</t>
  </si>
  <si>
    <t>978#</t>
  </si>
  <si>
    <t>985#</t>
  </si>
  <si>
    <t>991#</t>
  </si>
  <si>
    <t>965#</t>
  </si>
  <si>
    <t>632#</t>
  </si>
  <si>
    <t>661#</t>
  </si>
  <si>
    <t>896#</t>
  </si>
  <si>
    <t>880#</t>
  </si>
  <si>
    <t>609#</t>
  </si>
  <si>
    <t>810#</t>
  </si>
  <si>
    <t>9810#</t>
  </si>
  <si>
    <t>817#</t>
  </si>
  <si>
    <t>818#</t>
  </si>
  <si>
    <t>809#</t>
  </si>
  <si>
    <t>613#</t>
  </si>
  <si>
    <t>837#</t>
  </si>
  <si>
    <t>838#</t>
  </si>
  <si>
    <t>875#</t>
  </si>
  <si>
    <t>9875#</t>
  </si>
  <si>
    <t>850#</t>
  </si>
  <si>
    <t>851#</t>
  </si>
  <si>
    <t>853#</t>
  </si>
  <si>
    <t>840#</t>
  </si>
  <si>
    <t>885#</t>
  </si>
  <si>
    <t>813#</t>
  </si>
  <si>
    <t>827#</t>
  </si>
  <si>
    <t>828#</t>
  </si>
  <si>
    <t>807#</t>
  </si>
  <si>
    <t>855#</t>
  </si>
  <si>
    <t>856#</t>
  </si>
  <si>
    <t>857#</t>
  </si>
  <si>
    <t>858#</t>
  </si>
  <si>
    <t>820#</t>
  </si>
  <si>
    <t>860#</t>
  </si>
  <si>
    <t>861#</t>
  </si>
  <si>
    <t>862#</t>
  </si>
  <si>
    <t>863#</t>
  </si>
  <si>
    <t>859#</t>
  </si>
  <si>
    <t>871#</t>
  </si>
  <si>
    <t>835#</t>
  </si>
  <si>
    <t>865#</t>
  </si>
  <si>
    <t>866#</t>
  </si>
  <si>
    <t>短袖</t>
  </si>
  <si>
    <t>长袖</t>
  </si>
  <si>
    <t>串客户吊牌</t>
  </si>
  <si>
    <t>汇总</t>
  </si>
  <si>
    <t>627#</t>
  </si>
  <si>
    <t>967#</t>
  </si>
  <si>
    <t>656#</t>
  </si>
  <si>
    <t>653#</t>
  </si>
  <si>
    <t>9632#</t>
  </si>
  <si>
    <t>846#</t>
  </si>
  <si>
    <t>1908#</t>
  </si>
  <si>
    <t>1632#</t>
  </si>
  <si>
    <t>1627#</t>
  </si>
  <si>
    <t>9845#</t>
  </si>
  <si>
    <t>9625#</t>
  </si>
  <si>
    <t>9627#</t>
  </si>
  <si>
    <t>1909#</t>
  </si>
  <si>
    <t>1650#</t>
  </si>
  <si>
    <t>1845#</t>
  </si>
  <si>
    <t>9909#</t>
  </si>
  <si>
    <t>9623#</t>
  </si>
  <si>
    <t>1639#</t>
  </si>
  <si>
    <t>9908#</t>
  </si>
  <si>
    <t>1625#</t>
  </si>
  <si>
    <t>1656#</t>
  </si>
  <si>
    <t>650#</t>
  </si>
  <si>
    <t>9839#</t>
  </si>
  <si>
    <t>660#</t>
  </si>
  <si>
    <t>1653#</t>
  </si>
  <si>
    <t>662#</t>
  </si>
  <si>
    <t>1816#</t>
  </si>
  <si>
    <t>993#</t>
  </si>
  <si>
    <t>995#</t>
  </si>
  <si>
    <t>996#</t>
  </si>
  <si>
    <t>9843#</t>
  </si>
  <si>
    <t>639#</t>
  </si>
  <si>
    <t>1651#</t>
  </si>
  <si>
    <t>1652#</t>
  </si>
  <si>
    <t>9835#</t>
  </si>
  <si>
    <t>1639-1</t>
  </si>
  <si>
    <t>1639-1#</t>
  </si>
  <si>
    <t>1657#</t>
  </si>
  <si>
    <t>1658#</t>
  </si>
  <si>
    <t>950+950+650+180+630+1280+780+600+200+200+930+930+1100=9380</t>
  </si>
  <si>
    <t>9631#</t>
  </si>
  <si>
    <t>9636#</t>
  </si>
  <si>
    <t>9838#</t>
  </si>
  <si>
    <t>9638#</t>
  </si>
  <si>
    <t>9637#</t>
  </si>
  <si>
    <t>9630#</t>
  </si>
  <si>
    <t>9639#</t>
  </si>
  <si>
    <t>9842#</t>
  </si>
  <si>
    <t>651#</t>
  </si>
  <si>
    <t>1630#</t>
  </si>
  <si>
    <t>1655#</t>
  </si>
  <si>
    <t>9635#</t>
  </si>
  <si>
    <t>1842#</t>
  </si>
  <si>
    <t>1843#</t>
  </si>
  <si>
    <t>普通吊牌</t>
  </si>
  <si>
    <t>客户吊牌</t>
  </si>
  <si>
    <t>1500+1440+1620+850+500+800+1680=8390</t>
  </si>
  <si>
    <t>9809#</t>
  </si>
  <si>
    <t>9836#</t>
  </si>
  <si>
    <t>9837#</t>
  </si>
  <si>
    <t>9905#</t>
  </si>
  <si>
    <t>9099#</t>
  </si>
  <si>
    <t>9633#</t>
  </si>
  <si>
    <t>899#</t>
  </si>
  <si>
    <t>888#</t>
  </si>
  <si>
    <t>836#</t>
  </si>
  <si>
    <t>1875#</t>
  </si>
  <si>
    <t>887#</t>
  </si>
  <si>
    <t>823#</t>
  </si>
  <si>
    <t>832#</t>
  </si>
  <si>
    <t>875-1</t>
  </si>
  <si>
    <t>875-1#</t>
  </si>
  <si>
    <t>165+854+640=1659</t>
  </si>
  <si>
    <t>一般吊牌和
串客户吊牌</t>
  </si>
  <si>
    <t>601#</t>
  </si>
  <si>
    <t>826#</t>
  </si>
  <si>
    <t>客户贴纸
和串吊牌</t>
  </si>
  <si>
    <t>833#</t>
  </si>
  <si>
    <t>9876#</t>
  </si>
  <si>
    <t>876#</t>
  </si>
  <si>
    <t>831#</t>
  </si>
  <si>
    <t>602#</t>
  </si>
  <si>
    <t>客户穿串吊带
和贴不干胶</t>
  </si>
  <si>
    <t>1812#</t>
  </si>
  <si>
    <t>1813#</t>
  </si>
  <si>
    <t>8010#</t>
  </si>
  <si>
    <t>8012#</t>
  </si>
  <si>
    <t>983#</t>
  </si>
  <si>
    <t>928#</t>
  </si>
  <si>
    <t>968#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</si>
</sst>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6">
    <font>
      <sz val="11"/>
      <name val="宋体"/>
      <charset val="134"/>
    </font>
    <font>
      <b/>
      <sz val="11"/>
      <name val="宋体"/>
      <charset val="134"/>
    </font>
    <font>
      <b/>
      <sz val="11"/>
      <color rgb="FF08090C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8090C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F4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30C0B4"/>
      </left>
      <right style="thin">
        <color rgb="FFFFFFFF"/>
      </right>
      <top style="thin">
        <color rgb="FF30C0B4"/>
      </top>
      <bottom style="thin">
        <color rgb="FFB5ECE8"/>
      </bottom>
      <diagonal/>
    </border>
    <border>
      <left style="thin">
        <color rgb="FFFFFFFF"/>
      </left>
      <right style="thin">
        <color rgb="FFFFFFFF"/>
      </right>
      <top style="thin">
        <color rgb="FF30C0B4"/>
      </top>
      <bottom style="thin">
        <color rgb="FFB5ECE8"/>
      </bottom>
      <diagonal/>
    </border>
    <border>
      <left style="thin">
        <color rgb="FFFFFFFF"/>
      </left>
      <right style="thin">
        <color rgb="FF30C0B4"/>
      </right>
      <top style="thin">
        <color rgb="FF30C0B4"/>
      </top>
      <bottom style="thin">
        <color rgb="FFB5ECE8"/>
      </bottom>
      <diagonal/>
    </border>
    <border>
      <left style="thin">
        <color rgb="FF30C0B4"/>
      </left>
      <right style="thin">
        <color rgb="FFB5ECE8"/>
      </right>
      <top/>
      <bottom style="thin">
        <color rgb="FFB5ECE8"/>
      </bottom>
      <diagonal/>
    </border>
    <border>
      <left style="thin">
        <color rgb="FFB5ECE8"/>
      </left>
      <right style="thin">
        <color rgb="FFB5ECE8"/>
      </right>
      <top/>
      <bottom style="thin">
        <color rgb="FFB5ECE8"/>
      </bottom>
      <diagonal/>
    </border>
    <border>
      <left style="thin">
        <color rgb="FFB5ECE8"/>
      </left>
      <right style="thin">
        <color rgb="FF30C0B4"/>
      </right>
      <top/>
      <bottom style="thin">
        <color rgb="FFB5ECE8"/>
      </bottom>
      <diagonal/>
    </border>
    <border>
      <left style="thin">
        <color rgb="FFB5ECE8"/>
      </left>
      <right style="thin">
        <color rgb="FFB5ECE8"/>
      </right>
      <top style="thin">
        <color rgb="FFB5ECE8"/>
      </top>
      <bottom style="thin">
        <color rgb="FFB5ECE8"/>
      </bottom>
      <diagonal/>
    </border>
    <border>
      <left style="thin">
        <color rgb="FFB5ECE8"/>
      </left>
      <right style="thin">
        <color rgb="FF30C0B4"/>
      </right>
      <top style="thin">
        <color rgb="FFB5ECE8"/>
      </top>
      <bottom style="thin">
        <color rgb="FFB5ECE8"/>
      </bottom>
      <diagonal/>
    </border>
    <border>
      <left style="thin">
        <color rgb="FFB5ECE8"/>
      </left>
      <right style="thin">
        <color rgb="FFB5ECE8"/>
      </right>
      <top style="thin">
        <color rgb="FFB5ECE8"/>
      </top>
      <bottom style="thin">
        <color rgb="FF30C0B4"/>
      </bottom>
      <diagonal/>
    </border>
    <border>
      <left style="thin">
        <color rgb="FFB5ECE8"/>
      </left>
      <right style="thin">
        <color rgb="FF30C0B4"/>
      </right>
      <top style="thin">
        <color rgb="FFB5ECE8"/>
      </top>
      <bottom style="thin">
        <color rgb="FF30C0B4"/>
      </bottom>
      <diagonal/>
    </border>
    <border>
      <left style="thin">
        <color rgb="FF30C0B4"/>
      </left>
      <right style="thin">
        <color rgb="FFB5ECE8"/>
      </right>
      <top style="thin">
        <color rgb="FFB5ECE8"/>
      </top>
      <bottom style="thin">
        <color rgb="FFB5ECE8"/>
      </bottom>
      <diagonal/>
    </border>
    <border>
      <left style="thin">
        <color rgb="FF30C0B4"/>
      </left>
      <right style="thin">
        <color rgb="FFB5ECE8"/>
      </right>
      <top style="thin">
        <color rgb="FFB5ECE8"/>
      </top>
      <bottom style="thin">
        <color rgb="FF30C0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>
      <alignment vertical="center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58" fontId="4" fillId="3" borderId="1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'25年5月'!$A$1:$I$1</c:f>
              <c:strCache>
                <c:ptCount val="1"/>
                <c:pt idx="0">
                  <c:v>日期 型号 型号# 目标数量 实际数量 差异数量 历史库存 状态 小计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'25年5月'!$J$1:$BF$1</c:f>
              <c:numCache>
                <c:formatCode>General</c:formatCode>
                <c:ptCount val="49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8008742"/>
        <c:axId val="675447270"/>
      </c:lineChart>
      <c:catAx>
        <c:axId val="9080087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447270"/>
        <c:crosses val="autoZero"/>
        <c:auto val="1"/>
        <c:lblAlgn val="ctr"/>
        <c:lblOffset val="100"/>
        <c:noMultiLvlLbl val="0"/>
      </c:catAx>
      <c:valAx>
        <c:axId val="6754472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0087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db0d91-c240-43e2-b911-663ac3bba5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0</xdr:colOff>
      <xdr:row>4</xdr:row>
      <xdr:rowOff>0</xdr:rowOff>
    </xdr:from>
    <xdr:to>
      <xdr:col>63</xdr:col>
      <xdr:colOff>0</xdr:colOff>
      <xdr:row>19</xdr:row>
      <xdr:rowOff>0</xdr:rowOff>
    </xdr:to>
    <xdr:graphicFrame>
      <xdr:nvGraphicFramePr>
        <xdr:cNvPr id="2" name="图表 1"/>
        <xdr:cNvGraphicFramePr/>
      </xdr:nvGraphicFramePr>
      <xdr:xfrm>
        <a:off x="42343070" y="685800"/>
        <a:ext cx="381000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0"/>
  <sheetViews>
    <sheetView zoomScale="94" zoomScaleNormal="94" workbookViewId="0">
      <pane ySplit="1" topLeftCell="A316" activePane="bottomLeft" state="frozen"/>
      <selection/>
      <selection pane="bottomLeft" activeCell="K122" sqref="K122"/>
    </sheetView>
  </sheetViews>
  <sheetFormatPr defaultColWidth="10" defaultRowHeight="13.5"/>
  <cols>
    <col min="1" max="1" width="8.33333333333333" style="1" customWidth="1"/>
    <col min="2" max="2" width="5.21666666666667" style="1" customWidth="1"/>
    <col min="3" max="3" width="6.10833333333333" style="2" customWidth="1"/>
    <col min="4" max="7" width="9.21666666666667" style="1" customWidth="1"/>
    <col min="8" max="8" width="5.10833333333333" style="1" customWidth="1"/>
    <col min="9" max="9" width="5.21666666666667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27"/>
      <c r="K1" s="27"/>
      <c r="L1" s="27"/>
      <c r="M1" s="27"/>
      <c r="N1" s="27"/>
      <c r="O1" s="27"/>
      <c r="P1" s="27"/>
    </row>
    <row r="2" spans="1:16">
      <c r="A2" s="8">
        <v>45992</v>
      </c>
      <c r="B2" s="9">
        <v>6639</v>
      </c>
      <c r="C2" s="10" t="s">
        <v>9</v>
      </c>
      <c r="D2" s="9">
        <v>192</v>
      </c>
      <c r="E2" s="9">
        <v>192</v>
      </c>
      <c r="F2" s="9"/>
      <c r="G2" s="9"/>
      <c r="H2" s="9" t="s">
        <v>10</v>
      </c>
      <c r="I2" s="11">
        <f>SUM(E2:E12)</f>
        <v>1824</v>
      </c>
    </row>
    <row r="3" spans="1:16">
      <c r="A3" s="8">
        <v>45992</v>
      </c>
      <c r="B3" s="12">
        <v>909</v>
      </c>
      <c r="C3" s="13" t="s">
        <v>11</v>
      </c>
      <c r="D3" s="12">
        <v>138</v>
      </c>
      <c r="E3" s="12">
        <v>138</v>
      </c>
      <c r="F3" s="12"/>
      <c r="G3" s="12"/>
      <c r="H3" s="12" t="s">
        <v>10</v>
      </c>
      <c r="I3" s="14"/>
    </row>
    <row r="4" spans="1:16">
      <c r="A4" s="8">
        <v>45992</v>
      </c>
      <c r="B4" s="12">
        <v>625</v>
      </c>
      <c r="C4" s="13" t="s">
        <v>12</v>
      </c>
      <c r="D4" s="12">
        <v>172</v>
      </c>
      <c r="E4" s="12">
        <v>172</v>
      </c>
      <c r="F4" s="12"/>
      <c r="G4" s="12"/>
      <c r="H4" s="12" t="s">
        <v>10</v>
      </c>
      <c r="I4" s="14"/>
    </row>
    <row r="5" spans="1:16">
      <c r="A5" s="8">
        <v>45992</v>
      </c>
      <c r="B5" s="12">
        <v>981</v>
      </c>
      <c r="C5" s="13" t="s">
        <v>13</v>
      </c>
      <c r="D5" s="12">
        <v>140</v>
      </c>
      <c r="E5" s="12">
        <v>140</v>
      </c>
      <c r="F5" s="12"/>
      <c r="G5" s="12"/>
      <c r="H5" s="12" t="s">
        <v>10</v>
      </c>
      <c r="I5" s="14"/>
    </row>
    <row r="6" spans="1:16">
      <c r="A6" s="8">
        <v>45992</v>
      </c>
      <c r="B6" s="12">
        <v>1861</v>
      </c>
      <c r="C6" s="13" t="s">
        <v>14</v>
      </c>
      <c r="D6" s="12">
        <v>282</v>
      </c>
      <c r="E6" s="12">
        <v>282</v>
      </c>
      <c r="F6" s="12"/>
      <c r="G6" s="12"/>
      <c r="H6" s="12" t="s">
        <v>10</v>
      </c>
      <c r="I6" s="14"/>
    </row>
    <row r="7" spans="1:16">
      <c r="A7" s="8">
        <v>45992</v>
      </c>
      <c r="B7" s="12">
        <v>992</v>
      </c>
      <c r="C7" s="13" t="s">
        <v>15</v>
      </c>
      <c r="D7" s="12">
        <v>252</v>
      </c>
      <c r="E7" s="12">
        <v>252</v>
      </c>
      <c r="F7" s="12"/>
      <c r="G7" s="12"/>
      <c r="H7" s="12" t="s">
        <v>10</v>
      </c>
      <c r="I7" s="14"/>
    </row>
    <row r="8" spans="1:16">
      <c r="A8" s="8">
        <v>45992</v>
      </c>
      <c r="B8" s="12">
        <v>987</v>
      </c>
      <c r="C8" s="13" t="s">
        <v>16</v>
      </c>
      <c r="D8" s="12">
        <v>108</v>
      </c>
      <c r="E8" s="12">
        <v>108</v>
      </c>
      <c r="F8" s="12"/>
      <c r="G8" s="12"/>
      <c r="H8" s="12" t="s">
        <v>10</v>
      </c>
      <c r="I8" s="14"/>
    </row>
    <row r="9" spans="1:16">
      <c r="A9" s="8">
        <v>45992</v>
      </c>
      <c r="B9" s="12">
        <v>988</v>
      </c>
      <c r="C9" s="13" t="s">
        <v>17</v>
      </c>
      <c r="D9" s="12">
        <v>66</v>
      </c>
      <c r="E9" s="12">
        <v>66</v>
      </c>
      <c r="F9" s="12"/>
      <c r="G9" s="12"/>
      <c r="H9" s="12" t="s">
        <v>10</v>
      </c>
      <c r="I9" s="14"/>
    </row>
    <row r="10" spans="1:16">
      <c r="A10" s="8">
        <v>45992</v>
      </c>
      <c r="B10" s="12">
        <v>963</v>
      </c>
      <c r="C10" s="13" t="s">
        <v>18</v>
      </c>
      <c r="D10" s="12">
        <v>172</v>
      </c>
      <c r="E10" s="12">
        <v>172</v>
      </c>
      <c r="F10" s="12"/>
      <c r="G10" s="12"/>
      <c r="H10" s="12" t="s">
        <v>10</v>
      </c>
      <c r="I10" s="14"/>
    </row>
    <row r="11" spans="1:16">
      <c r="A11" s="8">
        <v>45992</v>
      </c>
      <c r="B11" s="12">
        <v>962</v>
      </c>
      <c r="C11" s="13" t="s">
        <v>19</v>
      </c>
      <c r="D11" s="12">
        <v>140</v>
      </c>
      <c r="E11" s="12">
        <v>140</v>
      </c>
      <c r="F11" s="12"/>
      <c r="G11" s="12"/>
      <c r="H11" s="12" t="s">
        <v>10</v>
      </c>
      <c r="I11" s="14"/>
    </row>
    <row r="12" spans="1:16">
      <c r="A12" s="8">
        <v>45992</v>
      </c>
      <c r="B12" s="12">
        <v>8839</v>
      </c>
      <c r="C12" s="13" t="s">
        <v>20</v>
      </c>
      <c r="D12" s="12">
        <v>162</v>
      </c>
      <c r="E12" s="12">
        <v>162</v>
      </c>
      <c r="F12" s="12"/>
      <c r="G12" s="12"/>
      <c r="H12" s="12" t="s">
        <v>10</v>
      </c>
      <c r="I12" s="14"/>
    </row>
    <row r="13" spans="1:16">
      <c r="A13" s="8">
        <v>45994</v>
      </c>
      <c r="B13" s="12">
        <v>6639</v>
      </c>
      <c r="C13" s="13" t="s">
        <v>9</v>
      </c>
      <c r="D13" s="12">
        <v>180</v>
      </c>
      <c r="E13" s="12">
        <v>180</v>
      </c>
      <c r="F13" s="12"/>
      <c r="G13" s="12"/>
      <c r="H13" s="12" t="s">
        <v>10</v>
      </c>
      <c r="I13" s="14">
        <f>SUM(E13:E32)</f>
        <v>3105</v>
      </c>
    </row>
    <row r="14" spans="1:16">
      <c r="A14" s="8">
        <v>45994</v>
      </c>
      <c r="B14" s="12">
        <v>625</v>
      </c>
      <c r="C14" s="13" t="s">
        <v>12</v>
      </c>
      <c r="D14" s="12">
        <v>164</v>
      </c>
      <c r="E14" s="12">
        <v>164</v>
      </c>
      <c r="F14" s="12"/>
      <c r="G14" s="12"/>
      <c r="H14" s="12" t="s">
        <v>10</v>
      </c>
      <c r="I14" s="14"/>
    </row>
    <row r="15" spans="1:16">
      <c r="A15" s="8">
        <v>45994</v>
      </c>
      <c r="B15" s="12">
        <v>909</v>
      </c>
      <c r="C15" s="13" t="s">
        <v>11</v>
      </c>
      <c r="D15" s="12">
        <v>178</v>
      </c>
      <c r="E15" s="12">
        <v>178</v>
      </c>
      <c r="F15" s="12"/>
      <c r="G15" s="12"/>
      <c r="H15" s="12" t="s">
        <v>10</v>
      </c>
      <c r="I15" s="14"/>
    </row>
    <row r="16" spans="1:16">
      <c r="A16" s="8">
        <v>45994</v>
      </c>
      <c r="B16" s="12">
        <v>659</v>
      </c>
      <c r="C16" s="13" t="s">
        <v>21</v>
      </c>
      <c r="D16" s="12">
        <v>61</v>
      </c>
      <c r="E16" s="12">
        <v>61</v>
      </c>
      <c r="F16" s="12"/>
      <c r="G16" s="12"/>
      <c r="H16" s="12" t="s">
        <v>10</v>
      </c>
      <c r="I16" s="14"/>
    </row>
    <row r="17" spans="1:9">
      <c r="A17" s="8">
        <v>45994</v>
      </c>
      <c r="B17" s="12">
        <v>910</v>
      </c>
      <c r="C17" s="13" t="s">
        <v>22</v>
      </c>
      <c r="D17" s="12">
        <v>55</v>
      </c>
      <c r="E17" s="12">
        <v>55</v>
      </c>
      <c r="F17" s="12"/>
      <c r="G17" s="12"/>
      <c r="H17" s="12" t="s">
        <v>10</v>
      </c>
      <c r="I17" s="14"/>
    </row>
    <row r="18" spans="1:9">
      <c r="A18" s="8">
        <v>45994</v>
      </c>
      <c r="B18" s="12">
        <v>908</v>
      </c>
      <c r="C18" s="13" t="s">
        <v>23</v>
      </c>
      <c r="D18" s="12">
        <v>30</v>
      </c>
      <c r="E18" s="12">
        <v>30</v>
      </c>
      <c r="F18" s="12"/>
      <c r="G18" s="12"/>
      <c r="H18" s="12" t="s">
        <v>10</v>
      </c>
      <c r="I18" s="14"/>
    </row>
    <row r="19" spans="1:9">
      <c r="A19" s="8">
        <v>45994</v>
      </c>
      <c r="B19" s="12">
        <v>845</v>
      </c>
      <c r="C19" s="13" t="s">
        <v>24</v>
      </c>
      <c r="D19" s="12">
        <v>144</v>
      </c>
      <c r="E19" s="12">
        <v>144</v>
      </c>
      <c r="F19" s="12"/>
      <c r="G19" s="12"/>
      <c r="H19" s="12" t="s">
        <v>10</v>
      </c>
      <c r="I19" s="14"/>
    </row>
    <row r="20" spans="1:9">
      <c r="A20" s="8">
        <v>45994</v>
      </c>
      <c r="B20" s="12">
        <v>981</v>
      </c>
      <c r="C20" s="13" t="s">
        <v>13</v>
      </c>
      <c r="D20" s="12">
        <v>80</v>
      </c>
      <c r="E20" s="12">
        <v>80</v>
      </c>
      <c r="F20" s="12"/>
      <c r="G20" s="12"/>
      <c r="H20" s="12" t="s">
        <v>10</v>
      </c>
      <c r="I20" s="14"/>
    </row>
    <row r="21" spans="1:9">
      <c r="A21" s="8">
        <v>45994</v>
      </c>
      <c r="B21" s="12">
        <v>1861</v>
      </c>
      <c r="C21" s="13" t="s">
        <v>14</v>
      </c>
      <c r="D21" s="12">
        <v>132</v>
      </c>
      <c r="E21" s="12">
        <v>132</v>
      </c>
      <c r="F21" s="12"/>
      <c r="G21" s="12"/>
      <c r="H21" s="12" t="s">
        <v>10</v>
      </c>
      <c r="I21" s="14"/>
    </row>
    <row r="22" spans="1:9">
      <c r="A22" s="8">
        <v>45994</v>
      </c>
      <c r="B22" s="12">
        <v>8839</v>
      </c>
      <c r="C22" s="13" t="s">
        <v>20</v>
      </c>
      <c r="D22" s="12">
        <v>294</v>
      </c>
      <c r="E22" s="12">
        <v>294</v>
      </c>
      <c r="F22" s="12"/>
      <c r="G22" s="12"/>
      <c r="H22" s="12" t="s">
        <v>10</v>
      </c>
      <c r="I22" s="14"/>
    </row>
    <row r="23" spans="1:9">
      <c r="A23" s="8">
        <v>45994</v>
      </c>
      <c r="B23" s="12">
        <v>987</v>
      </c>
      <c r="C23" s="13" t="s">
        <v>16</v>
      </c>
      <c r="D23" s="12">
        <v>440</v>
      </c>
      <c r="E23" s="12">
        <v>440</v>
      </c>
      <c r="F23" s="12"/>
      <c r="G23" s="12"/>
      <c r="H23" s="12" t="s">
        <v>10</v>
      </c>
      <c r="I23" s="14"/>
    </row>
    <row r="24" spans="1:9">
      <c r="A24" s="8">
        <v>45994</v>
      </c>
      <c r="B24" s="12">
        <v>978</v>
      </c>
      <c r="C24" s="13" t="s">
        <v>25</v>
      </c>
      <c r="D24" s="12">
        <v>168</v>
      </c>
      <c r="E24" s="12">
        <v>168</v>
      </c>
      <c r="F24" s="12"/>
      <c r="G24" s="12"/>
      <c r="H24" s="12" t="s">
        <v>10</v>
      </c>
      <c r="I24" s="14"/>
    </row>
    <row r="25" spans="1:9">
      <c r="A25" s="8">
        <v>45994</v>
      </c>
      <c r="B25" s="12">
        <v>988</v>
      </c>
      <c r="C25" s="13" t="s">
        <v>17</v>
      </c>
      <c r="D25" s="12">
        <v>81</v>
      </c>
      <c r="E25" s="12">
        <v>81</v>
      </c>
      <c r="F25" s="12"/>
      <c r="G25" s="12"/>
      <c r="H25" s="12" t="s">
        <v>10</v>
      </c>
      <c r="I25" s="14"/>
    </row>
    <row r="26" spans="1:9">
      <c r="A26" s="8">
        <v>45994</v>
      </c>
      <c r="B26" s="12">
        <v>963</v>
      </c>
      <c r="C26" s="13" t="s">
        <v>18</v>
      </c>
      <c r="D26" s="12">
        <v>180</v>
      </c>
      <c r="E26" s="12">
        <v>180</v>
      </c>
      <c r="F26" s="12"/>
      <c r="G26" s="12"/>
      <c r="H26" s="12" t="s">
        <v>10</v>
      </c>
      <c r="I26" s="14"/>
    </row>
    <row r="27" spans="1:9">
      <c r="A27" s="8">
        <v>45994</v>
      </c>
      <c r="B27" s="12">
        <v>985</v>
      </c>
      <c r="C27" s="13" t="s">
        <v>26</v>
      </c>
      <c r="D27" s="12">
        <v>102</v>
      </c>
      <c r="E27" s="12">
        <v>102</v>
      </c>
      <c r="F27" s="12"/>
      <c r="G27" s="12"/>
      <c r="H27" s="12" t="s">
        <v>10</v>
      </c>
      <c r="I27" s="14"/>
    </row>
    <row r="28" spans="1:9">
      <c r="A28" s="8">
        <v>45994</v>
      </c>
      <c r="B28" s="12">
        <v>962</v>
      </c>
      <c r="C28" s="13" t="s">
        <v>19</v>
      </c>
      <c r="D28" s="12">
        <v>300</v>
      </c>
      <c r="E28" s="12">
        <v>300</v>
      </c>
      <c r="F28" s="12"/>
      <c r="G28" s="12"/>
      <c r="H28" s="12" t="s">
        <v>10</v>
      </c>
      <c r="I28" s="14"/>
    </row>
    <row r="29" spans="1:9">
      <c r="A29" s="8">
        <v>45994</v>
      </c>
      <c r="B29" s="12">
        <v>991</v>
      </c>
      <c r="C29" s="13" t="s">
        <v>27</v>
      </c>
      <c r="D29" s="12">
        <v>245</v>
      </c>
      <c r="E29" s="12">
        <v>245</v>
      </c>
      <c r="F29" s="12"/>
      <c r="G29" s="12"/>
      <c r="H29" s="12" t="s">
        <v>10</v>
      </c>
      <c r="I29" s="14"/>
    </row>
    <row r="30" spans="1:9">
      <c r="A30" s="8">
        <v>45994</v>
      </c>
      <c r="B30" s="12">
        <v>992</v>
      </c>
      <c r="C30" s="13" t="s">
        <v>15</v>
      </c>
      <c r="D30" s="12">
        <v>35</v>
      </c>
      <c r="E30" s="12">
        <v>35</v>
      </c>
      <c r="F30" s="12"/>
      <c r="G30" s="12"/>
      <c r="H30" s="12" t="s">
        <v>10</v>
      </c>
      <c r="I30" s="14"/>
    </row>
    <row r="31" spans="1:9">
      <c r="A31" s="8">
        <v>45994</v>
      </c>
      <c r="B31" s="12">
        <v>965</v>
      </c>
      <c r="C31" s="13" t="s">
        <v>28</v>
      </c>
      <c r="D31" s="12">
        <v>108</v>
      </c>
      <c r="E31" s="12">
        <v>108</v>
      </c>
      <c r="F31" s="12"/>
      <c r="G31" s="12"/>
      <c r="H31" s="12" t="s">
        <v>10</v>
      </c>
      <c r="I31" s="14"/>
    </row>
    <row r="32" spans="1:9">
      <c r="A32" s="8">
        <v>45994</v>
      </c>
      <c r="B32" s="15">
        <v>632</v>
      </c>
      <c r="C32" s="16" t="s">
        <v>29</v>
      </c>
      <c r="D32" s="15">
        <v>128</v>
      </c>
      <c r="E32" s="15">
        <v>128</v>
      </c>
      <c r="F32" s="15"/>
      <c r="G32" s="15"/>
      <c r="H32" s="15" t="s">
        <v>10</v>
      </c>
      <c r="I32" s="17"/>
    </row>
    <row r="33" spans="1:9">
      <c r="A33" s="8">
        <v>45995</v>
      </c>
      <c r="B33" s="1">
        <v>6639</v>
      </c>
      <c r="C33" s="18" t="s">
        <v>9</v>
      </c>
      <c r="D33" s="1">
        <v>288</v>
      </c>
      <c r="E33" s="1">
        <v>288</v>
      </c>
      <c r="H33" s="15" t="s">
        <v>10</v>
      </c>
      <c r="I33" s="19">
        <f>SUM(E33:E42)</f>
        <v>1251</v>
      </c>
    </row>
    <row r="34" spans="1:9">
      <c r="A34" s="8">
        <v>45995</v>
      </c>
      <c r="B34" s="1">
        <v>625</v>
      </c>
      <c r="C34" s="18" t="s">
        <v>12</v>
      </c>
      <c r="D34" s="1">
        <v>280</v>
      </c>
      <c r="E34" s="1">
        <v>280</v>
      </c>
      <c r="H34" s="15" t="s">
        <v>10</v>
      </c>
      <c r="I34" s="19"/>
    </row>
    <row r="35" spans="1:9">
      <c r="A35" s="8">
        <v>45995</v>
      </c>
      <c r="B35" s="1">
        <v>909</v>
      </c>
      <c r="C35" s="18" t="s">
        <v>11</v>
      </c>
      <c r="D35" s="1">
        <v>322</v>
      </c>
      <c r="E35" s="1">
        <v>322</v>
      </c>
      <c r="H35" s="15" t="s">
        <v>10</v>
      </c>
      <c r="I35" s="19"/>
    </row>
    <row r="36" spans="1:9">
      <c r="A36" s="8">
        <v>45995</v>
      </c>
      <c r="B36" s="1">
        <v>908</v>
      </c>
      <c r="C36" s="18" t="s">
        <v>23</v>
      </c>
      <c r="D36" s="1">
        <v>32</v>
      </c>
      <c r="E36" s="1">
        <v>32</v>
      </c>
      <c r="H36" s="15" t="s">
        <v>10</v>
      </c>
      <c r="I36" s="19"/>
    </row>
    <row r="37" spans="1:9">
      <c r="A37" s="8">
        <v>45995</v>
      </c>
      <c r="B37" s="1">
        <v>992</v>
      </c>
      <c r="C37" s="18" t="s">
        <v>15</v>
      </c>
      <c r="D37" s="1">
        <v>47</v>
      </c>
      <c r="E37" s="1">
        <v>47</v>
      </c>
      <c r="H37" s="15" t="s">
        <v>10</v>
      </c>
      <c r="I37" s="19"/>
    </row>
    <row r="38" spans="1:9">
      <c r="A38" s="8">
        <v>45995</v>
      </c>
      <c r="B38" s="1">
        <v>991</v>
      </c>
      <c r="C38" s="18" t="s">
        <v>27</v>
      </c>
      <c r="D38" s="1">
        <v>59</v>
      </c>
      <c r="E38" s="1">
        <v>59</v>
      </c>
      <c r="H38" s="15" t="s">
        <v>10</v>
      </c>
      <c r="I38" s="19"/>
    </row>
    <row r="39" spans="1:9">
      <c r="A39" s="8">
        <v>45995</v>
      </c>
      <c r="B39" s="1">
        <v>987</v>
      </c>
      <c r="C39" s="18" t="s">
        <v>16</v>
      </c>
      <c r="D39" s="1">
        <v>6</v>
      </c>
      <c r="E39" s="1">
        <v>6</v>
      </c>
      <c r="H39" s="15" t="s">
        <v>10</v>
      </c>
      <c r="I39" s="19"/>
    </row>
    <row r="40" spans="1:9">
      <c r="A40" s="8">
        <v>45995</v>
      </c>
      <c r="B40" s="1">
        <v>1861</v>
      </c>
      <c r="C40" s="18" t="s">
        <v>14</v>
      </c>
      <c r="D40" s="1">
        <v>141</v>
      </c>
      <c r="E40" s="1">
        <v>141</v>
      </c>
      <c r="H40" s="15" t="s">
        <v>10</v>
      </c>
      <c r="I40" s="19"/>
    </row>
    <row r="41" spans="1:9">
      <c r="A41" s="8">
        <v>45995</v>
      </c>
      <c r="B41" s="1">
        <v>963</v>
      </c>
      <c r="C41" s="18" t="s">
        <v>18</v>
      </c>
      <c r="D41" s="1">
        <v>64</v>
      </c>
      <c r="E41" s="1">
        <v>64</v>
      </c>
      <c r="H41" s="15" t="s">
        <v>10</v>
      </c>
      <c r="I41" s="19"/>
    </row>
    <row r="42" spans="1:9">
      <c r="A42" s="8">
        <v>45995</v>
      </c>
      <c r="B42" s="1">
        <v>985</v>
      </c>
      <c r="C42" s="18" t="s">
        <v>26</v>
      </c>
      <c r="D42" s="1">
        <v>12</v>
      </c>
      <c r="E42" s="1">
        <v>12</v>
      </c>
      <c r="H42" s="15" t="s">
        <v>10</v>
      </c>
      <c r="I42" s="19"/>
    </row>
    <row r="43" spans="1:9">
      <c r="A43" s="8">
        <v>45996</v>
      </c>
      <c r="B43" s="1">
        <v>632</v>
      </c>
      <c r="C43" s="18" t="s">
        <v>29</v>
      </c>
      <c r="D43" s="1">
        <v>192</v>
      </c>
      <c r="E43" s="1">
        <v>192</v>
      </c>
      <c r="H43" s="15" t="s">
        <v>10</v>
      </c>
      <c r="I43" s="19">
        <f>SUM(E43:E51)</f>
        <v>1454</v>
      </c>
    </row>
    <row r="44" spans="1:9">
      <c r="A44" s="8">
        <v>45996</v>
      </c>
      <c r="B44" s="1">
        <v>909</v>
      </c>
      <c r="C44" s="18" t="s">
        <v>11</v>
      </c>
      <c r="D44" s="1">
        <v>234</v>
      </c>
      <c r="E44" s="1">
        <v>234</v>
      </c>
      <c r="H44" s="15" t="s">
        <v>10</v>
      </c>
      <c r="I44" s="19"/>
    </row>
    <row r="45" spans="1:9">
      <c r="A45" s="8">
        <v>45996</v>
      </c>
      <c r="B45" s="1">
        <v>1861</v>
      </c>
      <c r="C45" s="18" t="s">
        <v>14</v>
      </c>
      <c r="D45" s="1">
        <v>162</v>
      </c>
      <c r="E45" s="1">
        <v>162</v>
      </c>
      <c r="H45" s="15" t="s">
        <v>10</v>
      </c>
      <c r="I45" s="19"/>
    </row>
    <row r="46" spans="1:9">
      <c r="A46" s="8">
        <v>45996</v>
      </c>
      <c r="B46" s="1">
        <v>991</v>
      </c>
      <c r="C46" s="18" t="s">
        <v>27</v>
      </c>
      <c r="D46" s="1">
        <v>269</v>
      </c>
      <c r="E46" s="1">
        <v>269</v>
      </c>
      <c r="H46" s="15" t="s">
        <v>10</v>
      </c>
      <c r="I46" s="19"/>
    </row>
    <row r="47" spans="1:9">
      <c r="A47" s="8">
        <v>45996</v>
      </c>
      <c r="B47" s="1">
        <v>992</v>
      </c>
      <c r="C47" s="18" t="s">
        <v>15</v>
      </c>
      <c r="D47" s="1">
        <v>115</v>
      </c>
      <c r="E47" s="1">
        <v>115</v>
      </c>
      <c r="H47" s="15" t="s">
        <v>10</v>
      </c>
      <c r="I47" s="19"/>
    </row>
    <row r="48" spans="1:9">
      <c r="A48" s="8">
        <v>45996</v>
      </c>
      <c r="B48" s="1">
        <v>963</v>
      </c>
      <c r="C48" s="18" t="s">
        <v>18</v>
      </c>
      <c r="D48" s="1">
        <v>30</v>
      </c>
      <c r="E48" s="1">
        <v>30</v>
      </c>
      <c r="H48" s="15" t="s">
        <v>10</v>
      </c>
      <c r="I48" s="19"/>
    </row>
    <row r="49" spans="1:9">
      <c r="A49" s="8">
        <v>45996</v>
      </c>
      <c r="B49" s="1">
        <v>659</v>
      </c>
      <c r="C49" s="18" t="s">
        <v>21</v>
      </c>
      <c r="D49" s="1">
        <v>78</v>
      </c>
      <c r="E49" s="1">
        <v>78</v>
      </c>
      <c r="H49" s="15" t="s">
        <v>10</v>
      </c>
      <c r="I49" s="19"/>
    </row>
    <row r="50" spans="1:9">
      <c r="A50" s="8">
        <v>45996</v>
      </c>
      <c r="B50" s="1">
        <v>8839</v>
      </c>
      <c r="C50" s="18" t="s">
        <v>20</v>
      </c>
      <c r="D50" s="1">
        <v>372</v>
      </c>
      <c r="E50" s="1">
        <v>372</v>
      </c>
      <c r="H50" s="15" t="s">
        <v>10</v>
      </c>
      <c r="I50" s="19"/>
    </row>
    <row r="51" spans="1:9">
      <c r="A51" s="8">
        <v>45996</v>
      </c>
      <c r="B51" s="1">
        <v>991</v>
      </c>
      <c r="C51" s="18" t="s">
        <v>27</v>
      </c>
      <c r="D51" s="1">
        <v>2</v>
      </c>
      <c r="E51" s="1">
        <v>2</v>
      </c>
      <c r="H51" s="15" t="s">
        <v>10</v>
      </c>
      <c r="I51" s="19"/>
    </row>
    <row r="52" spans="1:9">
      <c r="A52" s="8">
        <v>45997</v>
      </c>
      <c r="B52" s="1">
        <v>987</v>
      </c>
      <c r="C52" s="18" t="s">
        <v>16</v>
      </c>
      <c r="D52" s="1">
        <v>179</v>
      </c>
      <c r="E52" s="1">
        <v>179</v>
      </c>
      <c r="H52" s="15" t="s">
        <v>10</v>
      </c>
      <c r="I52" s="19">
        <f>SUM(E52:E56)</f>
        <v>665</v>
      </c>
    </row>
    <row r="53" spans="1:9">
      <c r="A53" s="8">
        <v>45997</v>
      </c>
      <c r="B53" s="1">
        <v>978</v>
      </c>
      <c r="C53" s="18" t="s">
        <v>25</v>
      </c>
      <c r="D53" s="1">
        <v>57</v>
      </c>
      <c r="E53" s="1">
        <v>57</v>
      </c>
      <c r="H53" s="15" t="s">
        <v>10</v>
      </c>
      <c r="I53" s="19"/>
    </row>
    <row r="54" spans="1:9">
      <c r="A54" s="8">
        <v>45997</v>
      </c>
      <c r="B54" s="1">
        <v>988</v>
      </c>
      <c r="C54" s="18" t="s">
        <v>17</v>
      </c>
      <c r="D54" s="1">
        <v>69</v>
      </c>
      <c r="E54" s="1">
        <v>69</v>
      </c>
      <c r="H54" s="15" t="s">
        <v>10</v>
      </c>
      <c r="I54" s="19"/>
    </row>
    <row r="55" spans="1:9">
      <c r="A55" s="8">
        <v>45997</v>
      </c>
      <c r="B55" s="1">
        <v>992</v>
      </c>
      <c r="C55" s="18" t="s">
        <v>15</v>
      </c>
      <c r="D55" s="1">
        <v>132</v>
      </c>
      <c r="E55" s="1">
        <v>132</v>
      </c>
      <c r="H55" s="15" t="s">
        <v>10</v>
      </c>
      <c r="I55" s="19"/>
    </row>
    <row r="56" spans="1:9">
      <c r="A56" s="8">
        <v>45997</v>
      </c>
      <c r="B56" s="1">
        <v>1861</v>
      </c>
      <c r="C56" s="18" t="s">
        <v>14</v>
      </c>
      <c r="D56" s="1">
        <v>228</v>
      </c>
      <c r="E56" s="1">
        <v>228</v>
      </c>
      <c r="H56" s="15" t="s">
        <v>10</v>
      </c>
      <c r="I56" s="19"/>
    </row>
    <row r="57" spans="1:9">
      <c r="A57" s="8">
        <v>45999</v>
      </c>
      <c r="B57" s="1">
        <v>625</v>
      </c>
      <c r="C57" s="18" t="s">
        <v>12</v>
      </c>
      <c r="D57" s="1">
        <v>690</v>
      </c>
      <c r="E57" s="1">
        <v>690</v>
      </c>
      <c r="H57" s="15" t="s">
        <v>10</v>
      </c>
      <c r="I57" s="19">
        <f>SUM(E57:E65)</f>
        <v>1363</v>
      </c>
    </row>
    <row r="58" spans="1:9">
      <c r="A58" s="8">
        <v>45999</v>
      </c>
      <c r="B58" s="1">
        <v>6639</v>
      </c>
      <c r="C58" s="18" t="s">
        <v>9</v>
      </c>
      <c r="D58" s="1">
        <v>192</v>
      </c>
      <c r="E58" s="1">
        <v>192</v>
      </c>
      <c r="H58" s="15" t="s">
        <v>10</v>
      </c>
      <c r="I58" s="19"/>
    </row>
    <row r="59" spans="1:9">
      <c r="A59" s="8">
        <v>45999</v>
      </c>
      <c r="B59" s="1">
        <v>659</v>
      </c>
      <c r="C59" s="18" t="s">
        <v>21</v>
      </c>
      <c r="D59" s="1">
        <v>30</v>
      </c>
      <c r="E59" s="1">
        <v>30</v>
      </c>
      <c r="H59" s="15" t="s">
        <v>10</v>
      </c>
      <c r="I59" s="19"/>
    </row>
    <row r="60" spans="1:9">
      <c r="A60" s="8">
        <v>45999</v>
      </c>
      <c r="B60" s="1">
        <v>661</v>
      </c>
      <c r="C60" s="18" t="s">
        <v>30</v>
      </c>
      <c r="D60" s="1">
        <v>30</v>
      </c>
      <c r="E60" s="1">
        <v>30</v>
      </c>
      <c r="H60" s="15" t="s">
        <v>10</v>
      </c>
      <c r="I60" s="19"/>
    </row>
    <row r="61" spans="1:9">
      <c r="A61" s="8">
        <v>45999</v>
      </c>
      <c r="B61" s="1">
        <v>981</v>
      </c>
      <c r="C61" s="18" t="s">
        <v>13</v>
      </c>
      <c r="D61" s="1">
        <v>40</v>
      </c>
      <c r="E61" s="1">
        <v>40</v>
      </c>
      <c r="H61" s="15" t="s">
        <v>10</v>
      </c>
      <c r="I61" s="19"/>
    </row>
    <row r="62" spans="1:9">
      <c r="A62" s="8">
        <v>45999</v>
      </c>
      <c r="B62" s="1">
        <v>991</v>
      </c>
      <c r="C62" s="18" t="s">
        <v>27</v>
      </c>
      <c r="D62" s="1">
        <v>92</v>
      </c>
      <c r="E62" s="1">
        <v>92</v>
      </c>
      <c r="H62" s="15" t="s">
        <v>10</v>
      </c>
      <c r="I62" s="19"/>
    </row>
    <row r="63" spans="1:9">
      <c r="A63" s="8">
        <v>45999</v>
      </c>
      <c r="B63" s="1">
        <v>992</v>
      </c>
      <c r="C63" s="18" t="s">
        <v>15</v>
      </c>
      <c r="D63" s="1">
        <v>88</v>
      </c>
      <c r="E63" s="1">
        <v>88</v>
      </c>
      <c r="H63" s="15" t="s">
        <v>10</v>
      </c>
      <c r="I63" s="19"/>
    </row>
    <row r="64" spans="1:9">
      <c r="A64" s="8">
        <v>45999</v>
      </c>
      <c r="B64" s="1">
        <v>987</v>
      </c>
      <c r="C64" s="18" t="s">
        <v>16</v>
      </c>
      <c r="D64" s="1">
        <v>102</v>
      </c>
      <c r="E64" s="1">
        <v>102</v>
      </c>
      <c r="H64" s="15" t="s">
        <v>10</v>
      </c>
      <c r="I64" s="19"/>
    </row>
    <row r="65" spans="1:9">
      <c r="A65" s="8">
        <v>45999</v>
      </c>
      <c r="B65" s="1">
        <v>965</v>
      </c>
      <c r="C65" s="18" t="s">
        <v>28</v>
      </c>
      <c r="D65" s="1">
        <v>99</v>
      </c>
      <c r="E65" s="1">
        <v>99</v>
      </c>
      <c r="H65" s="15" t="s">
        <v>10</v>
      </c>
      <c r="I65" s="19"/>
    </row>
    <row r="66" spans="1:9">
      <c r="A66" s="8">
        <v>46001</v>
      </c>
      <c r="B66" s="1">
        <v>6639</v>
      </c>
      <c r="C66" s="18" t="s">
        <v>9</v>
      </c>
      <c r="D66" s="1">
        <v>96</v>
      </c>
      <c r="E66" s="1">
        <v>96</v>
      </c>
      <c r="H66" s="15" t="s">
        <v>10</v>
      </c>
      <c r="I66" s="19">
        <f>SUM(E66:E76)</f>
        <v>3670</v>
      </c>
    </row>
    <row r="67" spans="1:9">
      <c r="A67" s="8">
        <v>46001</v>
      </c>
      <c r="B67" s="1">
        <v>659</v>
      </c>
      <c r="C67" s="18" t="s">
        <v>21</v>
      </c>
      <c r="D67" s="1">
        <v>72</v>
      </c>
      <c r="E67" s="1">
        <v>72</v>
      </c>
      <c r="H67" s="15" t="s">
        <v>10</v>
      </c>
      <c r="I67" s="19"/>
    </row>
    <row r="68" spans="1:9">
      <c r="A68" s="8">
        <v>46001</v>
      </c>
      <c r="B68" s="1">
        <v>632</v>
      </c>
      <c r="C68" s="18" t="s">
        <v>29</v>
      </c>
      <c r="D68" s="1">
        <v>148</v>
      </c>
      <c r="E68" s="1">
        <v>148</v>
      </c>
      <c r="H68" s="15" t="s">
        <v>10</v>
      </c>
      <c r="I68" s="19"/>
    </row>
    <row r="69" spans="1:9">
      <c r="A69" s="8">
        <v>46001</v>
      </c>
      <c r="B69" s="1">
        <v>1861</v>
      </c>
      <c r="C69" s="18" t="s">
        <v>14</v>
      </c>
      <c r="D69" s="1">
        <v>204</v>
      </c>
      <c r="E69" s="1">
        <v>204</v>
      </c>
      <c r="H69" s="15" t="s">
        <v>10</v>
      </c>
      <c r="I69" s="19"/>
    </row>
    <row r="70" spans="1:9">
      <c r="A70" s="8">
        <v>46001</v>
      </c>
      <c r="B70" s="1">
        <v>896</v>
      </c>
      <c r="C70" s="18" t="s">
        <v>31</v>
      </c>
      <c r="D70" s="1">
        <v>522</v>
      </c>
      <c r="E70" s="1">
        <v>522</v>
      </c>
      <c r="H70" s="15" t="s">
        <v>10</v>
      </c>
      <c r="I70" s="19"/>
    </row>
    <row r="71" spans="1:9">
      <c r="A71" s="8">
        <v>46001</v>
      </c>
      <c r="B71" s="1">
        <v>880</v>
      </c>
      <c r="C71" s="18" t="s">
        <v>32</v>
      </c>
      <c r="D71" s="1">
        <v>522</v>
      </c>
      <c r="E71" s="1">
        <v>522</v>
      </c>
      <c r="H71" s="15" t="s">
        <v>10</v>
      </c>
      <c r="I71" s="19"/>
    </row>
    <row r="72" spans="1:9">
      <c r="A72" s="8">
        <v>46001</v>
      </c>
      <c r="B72" s="1">
        <v>609</v>
      </c>
      <c r="C72" s="18" t="s">
        <v>33</v>
      </c>
      <c r="D72" s="1">
        <v>522</v>
      </c>
      <c r="E72" s="1">
        <v>522</v>
      </c>
      <c r="H72" s="15" t="s">
        <v>10</v>
      </c>
      <c r="I72" s="19"/>
    </row>
    <row r="73" spans="1:9">
      <c r="A73" s="8">
        <v>46001</v>
      </c>
      <c r="B73" s="1">
        <v>810</v>
      </c>
      <c r="C73" s="18" t="s">
        <v>34</v>
      </c>
      <c r="D73" s="1">
        <v>396</v>
      </c>
      <c r="E73" s="1">
        <v>396</v>
      </c>
      <c r="H73" s="15" t="s">
        <v>10</v>
      </c>
      <c r="I73" s="19"/>
    </row>
    <row r="74" spans="1:9">
      <c r="A74" s="8">
        <v>46001</v>
      </c>
      <c r="B74" s="1">
        <v>9810</v>
      </c>
      <c r="C74" s="18" t="s">
        <v>35</v>
      </c>
      <c r="D74" s="1">
        <v>396</v>
      </c>
      <c r="E74" s="1">
        <v>396</v>
      </c>
      <c r="H74" s="15" t="s">
        <v>10</v>
      </c>
      <c r="I74" s="19"/>
    </row>
    <row r="75" spans="1:9">
      <c r="A75" s="8">
        <v>46001</v>
      </c>
      <c r="B75" s="1">
        <v>817</v>
      </c>
      <c r="C75" s="18" t="s">
        <v>36</v>
      </c>
      <c r="D75" s="1">
        <v>396</v>
      </c>
      <c r="E75" s="1">
        <v>396</v>
      </c>
      <c r="H75" s="15" t="s">
        <v>10</v>
      </c>
      <c r="I75" s="19"/>
    </row>
    <row r="76" spans="1:9">
      <c r="A76" s="8">
        <v>46001</v>
      </c>
      <c r="B76" s="1">
        <v>818</v>
      </c>
      <c r="C76" s="18" t="s">
        <v>37</v>
      </c>
      <c r="D76" s="1">
        <v>396</v>
      </c>
      <c r="E76" s="1">
        <v>396</v>
      </c>
      <c r="H76" s="15" t="s">
        <v>10</v>
      </c>
      <c r="I76" s="19"/>
    </row>
    <row r="77" spans="1:9">
      <c r="A77" s="8">
        <v>46002</v>
      </c>
      <c r="B77" s="1">
        <v>809</v>
      </c>
      <c r="C77" s="18" t="s">
        <v>38</v>
      </c>
      <c r="D77" s="1">
        <v>465</v>
      </c>
      <c r="E77" s="1">
        <v>465</v>
      </c>
      <c r="H77" s="15" t="s">
        <v>10</v>
      </c>
      <c r="I77" s="19">
        <f>SUM(E77:E84)</f>
        <v>2299</v>
      </c>
    </row>
    <row r="78" spans="1:9">
      <c r="A78" s="8">
        <v>46002</v>
      </c>
      <c r="B78" s="1">
        <v>613</v>
      </c>
      <c r="C78" s="18" t="s">
        <v>39</v>
      </c>
      <c r="D78" s="1">
        <v>465</v>
      </c>
      <c r="E78" s="1">
        <v>465</v>
      </c>
      <c r="H78" s="15" t="s">
        <v>10</v>
      </c>
      <c r="I78" s="19"/>
    </row>
    <row r="79" spans="1:9">
      <c r="A79" s="8">
        <v>46002</v>
      </c>
      <c r="B79" s="1">
        <v>837</v>
      </c>
      <c r="C79" s="18" t="s">
        <v>40</v>
      </c>
      <c r="D79" s="1">
        <v>465</v>
      </c>
      <c r="E79" s="1">
        <v>465</v>
      </c>
      <c r="H79" s="15" t="s">
        <v>10</v>
      </c>
      <c r="I79" s="19"/>
    </row>
    <row r="80" spans="1:9">
      <c r="A80" s="8">
        <v>46002</v>
      </c>
      <c r="B80" s="1">
        <v>838</v>
      </c>
      <c r="C80" s="18" t="s">
        <v>41</v>
      </c>
      <c r="D80" s="1">
        <v>465</v>
      </c>
      <c r="E80" s="1">
        <v>465</v>
      </c>
      <c r="H80" s="15" t="s">
        <v>10</v>
      </c>
      <c r="I80" s="19"/>
    </row>
    <row r="81" spans="1:9">
      <c r="A81" s="8">
        <v>46002</v>
      </c>
      <c r="B81" s="1">
        <v>985</v>
      </c>
      <c r="C81" s="18" t="s">
        <v>26</v>
      </c>
      <c r="D81" s="1">
        <v>180</v>
      </c>
      <c r="E81" s="1">
        <v>180</v>
      </c>
      <c r="H81" s="15" t="s">
        <v>10</v>
      </c>
      <c r="I81" s="19"/>
    </row>
    <row r="82" spans="1:9">
      <c r="A82" s="8">
        <v>46002</v>
      </c>
      <c r="B82" s="1">
        <v>963</v>
      </c>
      <c r="C82" s="18" t="s">
        <v>18</v>
      </c>
      <c r="D82" s="1">
        <v>52</v>
      </c>
      <c r="E82" s="1">
        <v>52</v>
      </c>
      <c r="H82" s="15" t="s">
        <v>10</v>
      </c>
      <c r="I82" s="19"/>
    </row>
    <row r="83" spans="1:9">
      <c r="A83" s="8">
        <v>46002</v>
      </c>
      <c r="B83" s="1">
        <v>962</v>
      </c>
      <c r="C83" s="18" t="s">
        <v>19</v>
      </c>
      <c r="D83" s="1">
        <v>111</v>
      </c>
      <c r="E83" s="1">
        <v>111</v>
      </c>
      <c r="H83" s="15" t="s">
        <v>10</v>
      </c>
      <c r="I83" s="19"/>
    </row>
    <row r="84" spans="1:9">
      <c r="A84" s="8">
        <v>46002</v>
      </c>
      <c r="B84" s="1">
        <v>987</v>
      </c>
      <c r="C84" s="18" t="s">
        <v>16</v>
      </c>
      <c r="D84" s="1">
        <v>96</v>
      </c>
      <c r="E84" s="1">
        <v>96</v>
      </c>
      <c r="H84" s="15" t="s">
        <v>10</v>
      </c>
      <c r="I84" s="19"/>
    </row>
    <row r="85" spans="1:9">
      <c r="A85" s="8">
        <v>46003</v>
      </c>
      <c r="B85" s="1">
        <v>1861</v>
      </c>
      <c r="C85" s="18" t="s">
        <v>14</v>
      </c>
      <c r="D85" s="1">
        <v>324</v>
      </c>
      <c r="E85" s="1">
        <v>324</v>
      </c>
      <c r="H85" s="15" t="s">
        <v>10</v>
      </c>
      <c r="I85" s="19">
        <f>SUM(E85:E88)</f>
        <v>1526</v>
      </c>
    </row>
    <row r="86" spans="1:9">
      <c r="A86" s="8">
        <v>46003</v>
      </c>
      <c r="B86" s="1">
        <v>8839</v>
      </c>
      <c r="C86" s="18" t="s">
        <v>20</v>
      </c>
      <c r="D86" s="1">
        <v>114</v>
      </c>
      <c r="E86" s="1">
        <v>114</v>
      </c>
      <c r="H86" s="15" t="s">
        <v>10</v>
      </c>
      <c r="I86" s="19"/>
    </row>
    <row r="87" spans="1:9">
      <c r="A87" s="8">
        <v>46003</v>
      </c>
      <c r="B87" s="1">
        <v>875</v>
      </c>
      <c r="C87" s="18" t="s">
        <v>42</v>
      </c>
      <c r="D87" s="1">
        <v>544</v>
      </c>
      <c r="E87" s="1">
        <v>544</v>
      </c>
      <c r="H87" s="15" t="s">
        <v>10</v>
      </c>
      <c r="I87" s="19"/>
    </row>
    <row r="88" spans="1:9">
      <c r="A88" s="8">
        <v>46003</v>
      </c>
      <c r="B88" s="1">
        <v>9875</v>
      </c>
      <c r="C88" s="18" t="s">
        <v>43</v>
      </c>
      <c r="D88" s="1">
        <v>544</v>
      </c>
      <c r="E88" s="1">
        <v>544</v>
      </c>
      <c r="H88" s="15" t="s">
        <v>10</v>
      </c>
      <c r="I88" s="19"/>
    </row>
    <row r="89" spans="1:9">
      <c r="A89" s="8">
        <v>46004</v>
      </c>
      <c r="B89" s="1">
        <v>987</v>
      </c>
      <c r="C89" s="18" t="s">
        <v>16</v>
      </c>
      <c r="D89" s="1">
        <v>129</v>
      </c>
      <c r="E89" s="1">
        <v>129</v>
      </c>
      <c r="H89" s="15" t="s">
        <v>10</v>
      </c>
      <c r="I89" s="19">
        <f>SUM(E89:E102)</f>
        <v>3608</v>
      </c>
    </row>
    <row r="90" spans="1:9">
      <c r="A90" s="8">
        <v>46004</v>
      </c>
      <c r="B90" s="1">
        <v>965</v>
      </c>
      <c r="C90" s="18" t="s">
        <v>28</v>
      </c>
      <c r="D90" s="1">
        <v>87</v>
      </c>
      <c r="E90" s="1">
        <v>87</v>
      </c>
      <c r="H90" s="15" t="s">
        <v>10</v>
      </c>
      <c r="I90" s="19"/>
    </row>
    <row r="91" spans="1:9">
      <c r="A91" s="8">
        <v>46004</v>
      </c>
      <c r="B91" s="1">
        <v>988</v>
      </c>
      <c r="C91" s="18" t="s">
        <v>17</v>
      </c>
      <c r="D91" s="1">
        <v>81</v>
      </c>
      <c r="E91" s="1">
        <v>81</v>
      </c>
      <c r="H91" s="15" t="s">
        <v>10</v>
      </c>
      <c r="I91" s="19"/>
    </row>
    <row r="92" spans="1:9">
      <c r="A92" s="8">
        <v>46004</v>
      </c>
      <c r="B92" s="1">
        <v>991</v>
      </c>
      <c r="C92" s="18" t="s">
        <v>27</v>
      </c>
      <c r="D92" s="1">
        <v>139</v>
      </c>
      <c r="E92" s="1">
        <v>139</v>
      </c>
      <c r="H92" s="15" t="s">
        <v>10</v>
      </c>
      <c r="I92" s="19"/>
    </row>
    <row r="93" spans="1:9">
      <c r="A93" s="8">
        <v>46004</v>
      </c>
      <c r="B93" s="1">
        <v>992</v>
      </c>
      <c r="C93" s="18" t="s">
        <v>15</v>
      </c>
      <c r="D93" s="1">
        <v>133</v>
      </c>
      <c r="E93" s="1">
        <v>133</v>
      </c>
      <c r="H93" s="15" t="s">
        <v>10</v>
      </c>
      <c r="I93" s="19"/>
    </row>
    <row r="94" spans="1:9">
      <c r="A94" s="8">
        <v>46004</v>
      </c>
      <c r="B94" s="1">
        <v>609</v>
      </c>
      <c r="C94" s="18" t="s">
        <v>33</v>
      </c>
      <c r="D94" s="1">
        <v>532</v>
      </c>
      <c r="E94" s="1">
        <v>532</v>
      </c>
      <c r="H94" s="15" t="s">
        <v>10</v>
      </c>
      <c r="I94" s="19"/>
    </row>
    <row r="95" spans="1:9">
      <c r="A95" s="8">
        <v>46004</v>
      </c>
      <c r="B95" s="1">
        <v>880</v>
      </c>
      <c r="C95" s="18" t="s">
        <v>32</v>
      </c>
      <c r="D95" s="1">
        <v>532</v>
      </c>
      <c r="E95" s="1">
        <v>532</v>
      </c>
      <c r="H95" s="15" t="s">
        <v>10</v>
      </c>
      <c r="I95" s="19"/>
    </row>
    <row r="96" spans="1:9">
      <c r="A96" s="8">
        <v>46004</v>
      </c>
      <c r="B96" s="1">
        <v>896</v>
      </c>
      <c r="C96" s="18" t="s">
        <v>31</v>
      </c>
      <c r="D96" s="1">
        <v>532</v>
      </c>
      <c r="E96" s="1">
        <v>532</v>
      </c>
      <c r="H96" s="15" t="s">
        <v>10</v>
      </c>
      <c r="I96" s="19"/>
    </row>
    <row r="97" spans="1:9">
      <c r="A97" s="8">
        <v>46004</v>
      </c>
      <c r="B97" s="1">
        <v>850</v>
      </c>
      <c r="C97" s="18" t="s">
        <v>44</v>
      </c>
      <c r="D97" s="1">
        <v>40</v>
      </c>
      <c r="E97" s="1">
        <v>40</v>
      </c>
      <c r="H97" s="15" t="s">
        <v>10</v>
      </c>
      <c r="I97" s="19"/>
    </row>
    <row r="98" spans="1:9">
      <c r="A98" s="8">
        <v>46004</v>
      </c>
      <c r="B98" s="1">
        <v>851</v>
      </c>
      <c r="C98" s="18" t="s">
        <v>45</v>
      </c>
      <c r="D98" s="1">
        <v>40</v>
      </c>
      <c r="E98" s="1">
        <v>40</v>
      </c>
      <c r="H98" s="15" t="s">
        <v>10</v>
      </c>
      <c r="I98" s="19"/>
    </row>
    <row r="99" spans="1:9">
      <c r="A99" s="8">
        <v>46004</v>
      </c>
      <c r="B99" s="1">
        <v>853</v>
      </c>
      <c r="C99" s="18" t="s">
        <v>46</v>
      </c>
      <c r="D99" s="1">
        <v>40</v>
      </c>
      <c r="E99" s="1">
        <v>40</v>
      </c>
      <c r="H99" s="15" t="s">
        <v>10</v>
      </c>
      <c r="I99" s="19"/>
    </row>
    <row r="100" spans="1:9">
      <c r="A100" s="8">
        <v>46004</v>
      </c>
      <c r="B100" s="1">
        <v>817</v>
      </c>
      <c r="C100" s="18" t="s">
        <v>36</v>
      </c>
      <c r="D100" s="1">
        <v>441</v>
      </c>
      <c r="E100" s="1">
        <v>441</v>
      </c>
      <c r="H100" s="15" t="s">
        <v>10</v>
      </c>
      <c r="I100" s="19"/>
    </row>
    <row r="101" spans="1:9">
      <c r="A101" s="8">
        <v>46004</v>
      </c>
      <c r="B101" s="1">
        <v>818</v>
      </c>
      <c r="C101" s="18" t="s">
        <v>37</v>
      </c>
      <c r="D101" s="1">
        <v>441</v>
      </c>
      <c r="E101" s="1">
        <v>441</v>
      </c>
      <c r="H101" s="15" t="s">
        <v>10</v>
      </c>
      <c r="I101" s="19"/>
    </row>
    <row r="102" spans="1:9">
      <c r="A102" s="8">
        <v>46004</v>
      </c>
      <c r="B102" s="1">
        <v>840</v>
      </c>
      <c r="C102" s="18" t="s">
        <v>47</v>
      </c>
      <c r="D102" s="1">
        <v>441</v>
      </c>
      <c r="E102" s="1">
        <v>441</v>
      </c>
      <c r="H102" s="15" t="s">
        <v>10</v>
      </c>
      <c r="I102" s="19"/>
    </row>
    <row r="103" spans="1:9">
      <c r="A103" s="8">
        <v>46005</v>
      </c>
      <c r="B103" s="1">
        <v>809</v>
      </c>
      <c r="C103" s="18" t="s">
        <v>38</v>
      </c>
      <c r="D103" s="1">
        <v>688</v>
      </c>
      <c r="E103" s="1">
        <v>688</v>
      </c>
      <c r="H103" s="15" t="s">
        <v>10</v>
      </c>
      <c r="I103" s="19">
        <f>SUM(E103:E119)</f>
        <v>4076</v>
      </c>
    </row>
    <row r="104" spans="1:9">
      <c r="A104" s="8">
        <v>46005</v>
      </c>
      <c r="B104" s="1">
        <v>837</v>
      </c>
      <c r="C104" s="18" t="s">
        <v>40</v>
      </c>
      <c r="D104" s="1">
        <v>688</v>
      </c>
      <c r="E104" s="1">
        <v>688</v>
      </c>
      <c r="H104" s="15" t="s">
        <v>10</v>
      </c>
      <c r="I104" s="19"/>
    </row>
    <row r="105" spans="1:9">
      <c r="A105" s="8">
        <v>46005</v>
      </c>
      <c r="B105" s="1">
        <v>885</v>
      </c>
      <c r="C105" s="18" t="s">
        <v>48</v>
      </c>
      <c r="D105" s="1">
        <v>688</v>
      </c>
      <c r="E105" s="1">
        <v>688</v>
      </c>
      <c r="H105" s="15" t="s">
        <v>10</v>
      </c>
      <c r="I105" s="19"/>
    </row>
    <row r="106" spans="1:9">
      <c r="A106" s="8">
        <v>46005</v>
      </c>
      <c r="B106" s="1">
        <v>1861</v>
      </c>
      <c r="C106" s="18" t="s">
        <v>14</v>
      </c>
      <c r="D106" s="1">
        <v>135</v>
      </c>
      <c r="E106" s="1">
        <v>135</v>
      </c>
      <c r="H106" s="15" t="s">
        <v>10</v>
      </c>
      <c r="I106" s="19"/>
    </row>
    <row r="107" spans="1:9">
      <c r="A107" s="8">
        <v>46005</v>
      </c>
      <c r="B107" s="1">
        <v>965</v>
      </c>
      <c r="C107" s="18" t="s">
        <v>28</v>
      </c>
      <c r="D107" s="1">
        <v>174</v>
      </c>
      <c r="E107" s="1">
        <v>174</v>
      </c>
      <c r="H107" s="15" t="s">
        <v>10</v>
      </c>
      <c r="I107" s="19"/>
    </row>
    <row r="108" spans="1:9">
      <c r="A108" s="8">
        <v>46005</v>
      </c>
      <c r="B108" s="1">
        <v>963</v>
      </c>
      <c r="C108" s="18" t="s">
        <v>18</v>
      </c>
      <c r="D108" s="1">
        <v>111</v>
      </c>
      <c r="E108" s="1">
        <v>111</v>
      </c>
      <c r="H108" s="15" t="s">
        <v>10</v>
      </c>
      <c r="I108" s="19"/>
    </row>
    <row r="109" spans="1:9">
      <c r="A109" s="8">
        <v>46005</v>
      </c>
      <c r="B109" s="1">
        <v>978</v>
      </c>
      <c r="C109" s="18" t="s">
        <v>25</v>
      </c>
      <c r="D109" s="1">
        <v>48</v>
      </c>
      <c r="E109" s="1">
        <v>48</v>
      </c>
      <c r="H109" s="15" t="s">
        <v>10</v>
      </c>
      <c r="I109" s="19"/>
    </row>
    <row r="110" spans="1:9">
      <c r="A110" s="8">
        <v>46005</v>
      </c>
      <c r="B110" s="1">
        <v>991</v>
      </c>
      <c r="C110" s="18" t="s">
        <v>27</v>
      </c>
      <c r="D110" s="1">
        <v>30</v>
      </c>
      <c r="E110" s="1">
        <v>30</v>
      </c>
      <c r="H110" s="15" t="s">
        <v>10</v>
      </c>
      <c r="I110" s="19"/>
    </row>
    <row r="111" spans="1:9">
      <c r="A111" s="8">
        <v>46005</v>
      </c>
      <c r="B111" s="1">
        <v>6639</v>
      </c>
      <c r="C111" s="18" t="s">
        <v>9</v>
      </c>
      <c r="D111" s="1">
        <v>51</v>
      </c>
      <c r="E111" s="1">
        <v>51</v>
      </c>
      <c r="H111" s="15" t="s">
        <v>10</v>
      </c>
      <c r="I111" s="19"/>
    </row>
    <row r="112" spans="1:9">
      <c r="A112" s="8">
        <v>46005</v>
      </c>
      <c r="B112" s="1">
        <v>909</v>
      </c>
      <c r="C112" s="18" t="s">
        <v>11</v>
      </c>
      <c r="D112" s="1">
        <v>30</v>
      </c>
      <c r="E112" s="1">
        <v>30</v>
      </c>
      <c r="H112" s="15" t="s">
        <v>10</v>
      </c>
      <c r="I112" s="19"/>
    </row>
    <row r="113" spans="1:9">
      <c r="A113" s="8">
        <v>46005</v>
      </c>
      <c r="B113" s="1">
        <v>625</v>
      </c>
      <c r="C113" s="18" t="s">
        <v>12</v>
      </c>
      <c r="D113" s="1">
        <v>117</v>
      </c>
      <c r="E113" s="1">
        <v>117</v>
      </c>
      <c r="H113" s="15" t="s">
        <v>10</v>
      </c>
      <c r="I113" s="19"/>
    </row>
    <row r="114" spans="1:9">
      <c r="A114" s="8">
        <v>46005</v>
      </c>
      <c r="B114" s="1">
        <v>981</v>
      </c>
      <c r="C114" s="18" t="s">
        <v>13</v>
      </c>
      <c r="D114" s="1">
        <v>20</v>
      </c>
      <c r="E114" s="1">
        <v>20</v>
      </c>
      <c r="H114" s="15" t="s">
        <v>10</v>
      </c>
      <c r="I114" s="19"/>
    </row>
    <row r="115" spans="1:9">
      <c r="A115" s="8">
        <v>46005</v>
      </c>
      <c r="B115" s="1">
        <v>632</v>
      </c>
      <c r="C115" s="18" t="s">
        <v>29</v>
      </c>
      <c r="D115" s="1">
        <v>102</v>
      </c>
      <c r="E115" s="1">
        <v>102</v>
      </c>
      <c r="H115" s="15" t="s">
        <v>10</v>
      </c>
      <c r="I115" s="19"/>
    </row>
    <row r="116" spans="1:9">
      <c r="A116" s="8">
        <v>46005</v>
      </c>
      <c r="B116" s="1">
        <v>8839</v>
      </c>
      <c r="C116" s="18" t="s">
        <v>20</v>
      </c>
      <c r="D116" s="1">
        <v>228</v>
      </c>
      <c r="E116" s="1">
        <v>228</v>
      </c>
      <c r="H116" s="15" t="s">
        <v>10</v>
      </c>
      <c r="I116" s="19"/>
    </row>
    <row r="117" spans="1:9">
      <c r="A117" s="8">
        <v>46005</v>
      </c>
      <c r="B117" s="1">
        <v>875</v>
      </c>
      <c r="C117" s="18" t="s">
        <v>42</v>
      </c>
      <c r="D117" s="1">
        <v>54</v>
      </c>
      <c r="E117" s="1">
        <v>54</v>
      </c>
      <c r="H117" s="15" t="s">
        <v>10</v>
      </c>
      <c r="I117" s="19"/>
    </row>
    <row r="118" spans="1:9">
      <c r="A118" s="8">
        <v>46005</v>
      </c>
      <c r="B118" s="1">
        <v>9875</v>
      </c>
      <c r="C118" s="18" t="s">
        <v>43</v>
      </c>
      <c r="D118" s="1">
        <v>54</v>
      </c>
      <c r="E118" s="1">
        <v>54</v>
      </c>
      <c r="H118" s="15" t="s">
        <v>10</v>
      </c>
      <c r="I118" s="19"/>
    </row>
    <row r="119" spans="1:9">
      <c r="A119" s="8">
        <v>46005</v>
      </c>
      <c r="B119" s="1">
        <v>813</v>
      </c>
      <c r="C119" s="18" t="s">
        <v>49</v>
      </c>
      <c r="D119" s="1">
        <v>858</v>
      </c>
      <c r="E119" s="1">
        <v>858</v>
      </c>
      <c r="H119" s="15" t="s">
        <v>10</v>
      </c>
      <c r="I119" s="19"/>
    </row>
    <row r="120" spans="1:9">
      <c r="A120" s="8">
        <v>46006</v>
      </c>
      <c r="B120" s="1">
        <v>813</v>
      </c>
      <c r="C120" s="18" t="s">
        <v>49</v>
      </c>
      <c r="D120" s="1">
        <v>366</v>
      </c>
      <c r="E120" s="1">
        <v>366</v>
      </c>
      <c r="H120" s="15" t="s">
        <v>10</v>
      </c>
      <c r="I120" s="19">
        <f>SUM(E120:E129)</f>
        <v>4061</v>
      </c>
    </row>
    <row r="121" spans="1:9">
      <c r="A121" s="8">
        <v>46006</v>
      </c>
      <c r="B121" s="1">
        <v>827</v>
      </c>
      <c r="C121" s="18" t="s">
        <v>50</v>
      </c>
      <c r="D121" s="1">
        <v>642</v>
      </c>
      <c r="E121" s="1">
        <v>642</v>
      </c>
      <c r="H121" s="15" t="s">
        <v>10</v>
      </c>
      <c r="I121" s="19"/>
    </row>
    <row r="122" spans="1:9">
      <c r="A122" s="8">
        <v>46006</v>
      </c>
      <c r="B122" s="1">
        <v>828</v>
      </c>
      <c r="C122" s="18" t="s">
        <v>51</v>
      </c>
      <c r="D122" s="1">
        <v>321</v>
      </c>
      <c r="E122" s="1">
        <v>321</v>
      </c>
      <c r="H122" s="15" t="s">
        <v>10</v>
      </c>
      <c r="I122" s="19"/>
    </row>
    <row r="123" spans="1:9">
      <c r="A123" s="8">
        <v>46006</v>
      </c>
      <c r="B123" s="1">
        <v>9875</v>
      </c>
      <c r="C123" s="18" t="s">
        <v>43</v>
      </c>
      <c r="D123" s="1">
        <v>588</v>
      </c>
      <c r="E123" s="1">
        <v>588</v>
      </c>
      <c r="H123" s="15" t="s">
        <v>10</v>
      </c>
      <c r="I123" s="19"/>
    </row>
    <row r="124" spans="1:9">
      <c r="A124" s="8">
        <v>46006</v>
      </c>
      <c r="B124" s="1">
        <v>875</v>
      </c>
      <c r="C124" s="18" t="s">
        <v>42</v>
      </c>
      <c r="D124" s="1">
        <v>588</v>
      </c>
      <c r="E124" s="1">
        <v>588</v>
      </c>
      <c r="H124" s="15" t="s">
        <v>10</v>
      </c>
      <c r="I124" s="19"/>
    </row>
    <row r="125" spans="1:9">
      <c r="A125" s="8">
        <v>46006</v>
      </c>
      <c r="B125" s="1">
        <v>1861</v>
      </c>
      <c r="C125" s="18" t="s">
        <v>14</v>
      </c>
      <c r="D125" s="1">
        <v>93</v>
      </c>
      <c r="E125" s="1">
        <v>93</v>
      </c>
      <c r="H125" s="15" t="s">
        <v>10</v>
      </c>
      <c r="I125" s="19"/>
    </row>
    <row r="126" spans="1:9">
      <c r="A126" s="8">
        <v>46006</v>
      </c>
      <c r="B126" s="1">
        <v>981</v>
      </c>
      <c r="C126" s="18" t="s">
        <v>13</v>
      </c>
      <c r="D126" s="1">
        <v>32</v>
      </c>
      <c r="E126" s="1">
        <v>32</v>
      </c>
      <c r="H126" s="15" t="s">
        <v>10</v>
      </c>
      <c r="I126" s="19"/>
    </row>
    <row r="127" spans="1:9">
      <c r="A127" s="8">
        <v>46006</v>
      </c>
      <c r="B127" s="1">
        <v>807</v>
      </c>
      <c r="C127" s="18" t="s">
        <v>52</v>
      </c>
      <c r="D127" s="1">
        <v>477</v>
      </c>
      <c r="E127" s="1">
        <v>477</v>
      </c>
      <c r="H127" s="15" t="s">
        <v>10</v>
      </c>
      <c r="I127" s="19"/>
    </row>
    <row r="128" spans="1:9">
      <c r="A128" s="8">
        <v>46006</v>
      </c>
      <c r="B128" s="1">
        <v>855</v>
      </c>
      <c r="C128" s="18" t="s">
        <v>53</v>
      </c>
      <c r="D128" s="1">
        <v>477</v>
      </c>
      <c r="E128" s="1">
        <v>477</v>
      </c>
      <c r="H128" s="15" t="s">
        <v>10</v>
      </c>
      <c r="I128" s="19"/>
    </row>
    <row r="129" spans="1:9">
      <c r="A129" s="8">
        <v>46006</v>
      </c>
      <c r="B129" s="1">
        <v>856</v>
      </c>
      <c r="C129" s="18" t="s">
        <v>54</v>
      </c>
      <c r="D129" s="1">
        <v>477</v>
      </c>
      <c r="E129" s="1">
        <v>477</v>
      </c>
      <c r="H129" s="15" t="s">
        <v>10</v>
      </c>
      <c r="I129" s="19"/>
    </row>
    <row r="130" spans="1:9">
      <c r="A130" s="8">
        <v>46007</v>
      </c>
      <c r="B130" s="1">
        <v>978</v>
      </c>
      <c r="C130" s="18" t="s">
        <v>25</v>
      </c>
      <c r="D130" s="1">
        <v>117</v>
      </c>
      <c r="E130" s="1">
        <v>117</v>
      </c>
      <c r="H130" s="15" t="s">
        <v>10</v>
      </c>
      <c r="I130" s="19">
        <f>SUM(E130:E145)</f>
        <v>3564</v>
      </c>
    </row>
    <row r="131" spans="1:9">
      <c r="A131" s="8">
        <v>46007</v>
      </c>
      <c r="B131" s="1">
        <v>987</v>
      </c>
      <c r="C131" s="18" t="s">
        <v>16</v>
      </c>
      <c r="D131" s="1">
        <v>131</v>
      </c>
      <c r="E131" s="1">
        <v>131</v>
      </c>
      <c r="H131" s="15" t="s">
        <v>10</v>
      </c>
      <c r="I131" s="19"/>
    </row>
    <row r="132" spans="1:9">
      <c r="A132" s="8">
        <v>46007</v>
      </c>
      <c r="B132" s="1">
        <v>988</v>
      </c>
      <c r="C132" s="18" t="s">
        <v>17</v>
      </c>
      <c r="D132" s="1">
        <v>165</v>
      </c>
      <c r="E132" s="1">
        <v>165</v>
      </c>
      <c r="H132" s="15" t="s">
        <v>10</v>
      </c>
      <c r="I132" s="19"/>
    </row>
    <row r="133" spans="1:9">
      <c r="A133" s="8">
        <v>46007</v>
      </c>
      <c r="B133" s="1">
        <v>962</v>
      </c>
      <c r="C133" s="18" t="s">
        <v>19</v>
      </c>
      <c r="D133" s="1">
        <v>150</v>
      </c>
      <c r="E133" s="1">
        <v>150</v>
      </c>
      <c r="H133" s="15" t="s">
        <v>10</v>
      </c>
      <c r="I133" s="19"/>
    </row>
    <row r="134" spans="1:9">
      <c r="A134" s="8">
        <v>46007</v>
      </c>
      <c r="B134" s="1">
        <v>991</v>
      </c>
      <c r="C134" s="18" t="s">
        <v>27</v>
      </c>
      <c r="D134" s="1">
        <v>75</v>
      </c>
      <c r="E134" s="1">
        <v>75</v>
      </c>
      <c r="H134" s="15" t="s">
        <v>10</v>
      </c>
      <c r="I134" s="19"/>
    </row>
    <row r="135" spans="1:9">
      <c r="A135" s="8">
        <v>46007</v>
      </c>
      <c r="B135" s="1">
        <v>1861</v>
      </c>
      <c r="C135" s="18" t="s">
        <v>14</v>
      </c>
      <c r="D135" s="1">
        <v>180</v>
      </c>
      <c r="E135" s="1">
        <v>180</v>
      </c>
      <c r="H135" s="15" t="s">
        <v>10</v>
      </c>
      <c r="I135" s="19"/>
    </row>
    <row r="136" spans="1:9">
      <c r="A136" s="8">
        <v>46007</v>
      </c>
      <c r="B136" s="1">
        <v>813</v>
      </c>
      <c r="C136" s="18" t="s">
        <v>49</v>
      </c>
      <c r="D136" s="1">
        <v>396</v>
      </c>
      <c r="E136" s="1">
        <v>396</v>
      </c>
      <c r="H136" s="15" t="s">
        <v>10</v>
      </c>
      <c r="I136" s="19"/>
    </row>
    <row r="137" spans="1:9">
      <c r="A137" s="8">
        <v>46007</v>
      </c>
      <c r="B137" s="1">
        <v>896</v>
      </c>
      <c r="C137" s="18" t="s">
        <v>31</v>
      </c>
      <c r="D137" s="1">
        <v>306</v>
      </c>
      <c r="E137" s="1">
        <v>306</v>
      </c>
      <c r="H137" s="15" t="s">
        <v>10</v>
      </c>
      <c r="I137" s="19"/>
    </row>
    <row r="138" spans="1:9">
      <c r="A138" s="8">
        <v>46007</v>
      </c>
      <c r="B138" s="1">
        <v>880</v>
      </c>
      <c r="C138" s="18" t="s">
        <v>32</v>
      </c>
      <c r="D138" s="1">
        <v>306</v>
      </c>
      <c r="E138" s="1">
        <v>306</v>
      </c>
      <c r="H138" s="15" t="s">
        <v>10</v>
      </c>
      <c r="I138" s="19"/>
    </row>
    <row r="139" spans="1:9">
      <c r="A139" s="8">
        <v>46007</v>
      </c>
      <c r="B139" s="1">
        <v>609</v>
      </c>
      <c r="C139" s="18" t="s">
        <v>33</v>
      </c>
      <c r="D139" s="1">
        <v>306</v>
      </c>
      <c r="E139" s="1">
        <v>306</v>
      </c>
      <c r="H139" s="15" t="s">
        <v>10</v>
      </c>
      <c r="I139" s="19"/>
    </row>
    <row r="140" spans="1:9">
      <c r="A140" s="8">
        <v>46007</v>
      </c>
      <c r="B140" s="1">
        <v>909</v>
      </c>
      <c r="C140" s="18" t="s">
        <v>11</v>
      </c>
      <c r="D140" s="1">
        <v>176</v>
      </c>
      <c r="E140" s="1">
        <v>176</v>
      </c>
      <c r="H140" s="15" t="s">
        <v>10</v>
      </c>
      <c r="I140" s="19"/>
    </row>
    <row r="141" spans="1:9">
      <c r="A141" s="8">
        <v>46007</v>
      </c>
      <c r="B141" s="1">
        <v>809</v>
      </c>
      <c r="C141" s="18" t="s">
        <v>38</v>
      </c>
      <c r="D141" s="1">
        <v>314</v>
      </c>
      <c r="E141" s="1">
        <v>314</v>
      </c>
      <c r="H141" s="15" t="s">
        <v>10</v>
      </c>
      <c r="I141" s="19"/>
    </row>
    <row r="142" spans="1:9">
      <c r="A142" s="8">
        <v>46007</v>
      </c>
      <c r="B142" s="1">
        <v>838</v>
      </c>
      <c r="C142" s="18" t="s">
        <v>41</v>
      </c>
      <c r="D142" s="1">
        <v>314</v>
      </c>
      <c r="E142" s="1">
        <v>314</v>
      </c>
      <c r="H142" s="15" t="s">
        <v>10</v>
      </c>
      <c r="I142" s="19"/>
    </row>
    <row r="143" spans="1:9">
      <c r="A143" s="8">
        <v>46007</v>
      </c>
      <c r="B143" s="1">
        <v>837</v>
      </c>
      <c r="C143" s="18" t="s">
        <v>40</v>
      </c>
      <c r="D143" s="1">
        <v>314</v>
      </c>
      <c r="E143" s="1">
        <v>314</v>
      </c>
      <c r="H143" s="15" t="s">
        <v>10</v>
      </c>
      <c r="I143" s="19"/>
    </row>
    <row r="144" spans="1:9">
      <c r="A144" s="8">
        <v>46007</v>
      </c>
      <c r="B144" s="1">
        <v>613</v>
      </c>
      <c r="C144" s="18" t="s">
        <v>39</v>
      </c>
      <c r="D144" s="1">
        <v>304</v>
      </c>
      <c r="E144" s="1">
        <v>304</v>
      </c>
      <c r="H144" s="15" t="s">
        <v>10</v>
      </c>
      <c r="I144" s="19"/>
    </row>
    <row r="145" spans="1:9">
      <c r="A145" s="8">
        <v>46007</v>
      </c>
      <c r="B145" s="1">
        <v>857</v>
      </c>
      <c r="C145" s="18" t="s">
        <v>55</v>
      </c>
      <c r="D145" s="1">
        <v>10</v>
      </c>
      <c r="E145" s="1">
        <v>10</v>
      </c>
      <c r="H145" s="15" t="s">
        <v>10</v>
      </c>
      <c r="I145" s="19"/>
    </row>
    <row r="146" spans="1:9">
      <c r="A146" s="8">
        <v>46008</v>
      </c>
      <c r="B146" s="1">
        <v>810</v>
      </c>
      <c r="C146" s="18" t="s">
        <v>34</v>
      </c>
      <c r="D146" s="1">
        <v>510</v>
      </c>
      <c r="E146" s="1">
        <v>510</v>
      </c>
      <c r="H146" s="15" t="s">
        <v>10</v>
      </c>
      <c r="I146" s="19">
        <f>SUM(E146:E154)</f>
        <v>2569</v>
      </c>
    </row>
    <row r="147" spans="1:9">
      <c r="A147" s="8">
        <v>46008</v>
      </c>
      <c r="B147" s="1">
        <v>880</v>
      </c>
      <c r="C147" s="18" t="s">
        <v>32</v>
      </c>
      <c r="D147" s="1">
        <v>510</v>
      </c>
      <c r="E147" s="1">
        <v>510</v>
      </c>
      <c r="H147" s="15" t="s">
        <v>10</v>
      </c>
      <c r="I147" s="19"/>
    </row>
    <row r="148" spans="1:9">
      <c r="A148" s="8">
        <v>46008</v>
      </c>
      <c r="B148" s="1">
        <v>818</v>
      </c>
      <c r="C148" s="18" t="s">
        <v>37</v>
      </c>
      <c r="D148" s="1">
        <v>510</v>
      </c>
      <c r="E148" s="1">
        <v>510</v>
      </c>
      <c r="H148" s="15" t="s">
        <v>10</v>
      </c>
      <c r="I148" s="19"/>
    </row>
    <row r="149" spans="1:9">
      <c r="A149" s="8">
        <v>46008</v>
      </c>
      <c r="B149" s="1">
        <v>875</v>
      </c>
      <c r="C149" s="18" t="s">
        <v>42</v>
      </c>
      <c r="D149" s="1">
        <v>441</v>
      </c>
      <c r="E149" s="1">
        <v>441</v>
      </c>
      <c r="H149" s="15" t="s">
        <v>10</v>
      </c>
      <c r="I149" s="19"/>
    </row>
    <row r="150" spans="1:9">
      <c r="A150" s="8">
        <v>46008</v>
      </c>
      <c r="B150" s="1">
        <v>856</v>
      </c>
      <c r="C150" s="18" t="s">
        <v>54</v>
      </c>
      <c r="D150" s="1">
        <v>441</v>
      </c>
      <c r="E150" s="1">
        <v>441</v>
      </c>
      <c r="H150" s="15" t="s">
        <v>10</v>
      </c>
      <c r="I150" s="19"/>
    </row>
    <row r="151" spans="1:9">
      <c r="A151" s="8">
        <v>46008</v>
      </c>
      <c r="B151" s="1">
        <v>909</v>
      </c>
      <c r="C151" s="18" t="s">
        <v>11</v>
      </c>
      <c r="D151" s="1">
        <v>64</v>
      </c>
      <c r="E151" s="1">
        <v>64</v>
      </c>
      <c r="H151" s="15" t="s">
        <v>10</v>
      </c>
      <c r="I151" s="19"/>
    </row>
    <row r="152" spans="1:9">
      <c r="A152" s="8">
        <v>46008</v>
      </c>
      <c r="B152" s="1">
        <v>908</v>
      </c>
      <c r="C152" s="18" t="s">
        <v>23</v>
      </c>
      <c r="D152" s="1">
        <v>20</v>
      </c>
      <c r="E152" s="1">
        <v>20</v>
      </c>
      <c r="H152" s="15" t="s">
        <v>10</v>
      </c>
      <c r="I152" s="19"/>
    </row>
    <row r="153" spans="1:9">
      <c r="A153" s="8">
        <v>46008</v>
      </c>
      <c r="B153" s="1">
        <v>632</v>
      </c>
      <c r="C153" s="18" t="s">
        <v>29</v>
      </c>
      <c r="D153" s="1">
        <v>22</v>
      </c>
      <c r="E153" s="1">
        <v>22</v>
      </c>
      <c r="H153" s="15" t="s">
        <v>10</v>
      </c>
      <c r="I153" s="19"/>
    </row>
    <row r="154" spans="1:9">
      <c r="A154" s="8">
        <v>46008</v>
      </c>
      <c r="B154" s="1">
        <v>1861</v>
      </c>
      <c r="C154" s="18" t="s">
        <v>14</v>
      </c>
      <c r="D154" s="1">
        <v>51</v>
      </c>
      <c r="E154" s="1">
        <v>51</v>
      </c>
      <c r="H154" s="15" t="s">
        <v>10</v>
      </c>
      <c r="I154" s="19"/>
    </row>
    <row r="155" spans="1:9">
      <c r="A155" s="8">
        <v>46009</v>
      </c>
      <c r="B155" s="1">
        <v>850</v>
      </c>
      <c r="C155" s="18" t="s">
        <v>44</v>
      </c>
      <c r="D155" s="1">
        <v>274</v>
      </c>
      <c r="E155" s="1">
        <v>274</v>
      </c>
      <c r="H155" s="15" t="s">
        <v>10</v>
      </c>
      <c r="I155" s="19">
        <f>SUM(E155:E173)</f>
        <v>4374</v>
      </c>
    </row>
    <row r="156" spans="1:9">
      <c r="A156" s="8">
        <v>46009</v>
      </c>
      <c r="B156" s="1">
        <v>853</v>
      </c>
      <c r="C156" s="18" t="s">
        <v>46</v>
      </c>
      <c r="D156" s="1">
        <v>274</v>
      </c>
      <c r="E156" s="1">
        <v>274</v>
      </c>
      <c r="H156" s="15" t="s">
        <v>10</v>
      </c>
      <c r="I156" s="19"/>
    </row>
    <row r="157" spans="1:9">
      <c r="A157" s="8">
        <v>46009</v>
      </c>
      <c r="B157" s="1">
        <v>858</v>
      </c>
      <c r="C157" s="18" t="s">
        <v>56</v>
      </c>
      <c r="D157" s="1">
        <v>274</v>
      </c>
      <c r="E157" s="1">
        <v>274</v>
      </c>
      <c r="H157" s="15" t="s">
        <v>10</v>
      </c>
      <c r="I157" s="19"/>
    </row>
    <row r="158" spans="1:9">
      <c r="A158" s="8">
        <v>46009</v>
      </c>
      <c r="B158" s="1">
        <v>875</v>
      </c>
      <c r="C158" s="18" t="s">
        <v>42</v>
      </c>
      <c r="D158" s="1">
        <v>393</v>
      </c>
      <c r="E158" s="1">
        <v>393</v>
      </c>
      <c r="H158" s="15" t="s">
        <v>10</v>
      </c>
      <c r="I158" s="19"/>
    </row>
    <row r="159" spans="1:9">
      <c r="A159" s="8">
        <v>46009</v>
      </c>
      <c r="B159" s="1">
        <v>9875</v>
      </c>
      <c r="C159" s="18" t="s">
        <v>43</v>
      </c>
      <c r="D159" s="1">
        <v>393</v>
      </c>
      <c r="E159" s="1">
        <v>393</v>
      </c>
      <c r="H159" s="15" t="s">
        <v>10</v>
      </c>
      <c r="I159" s="19"/>
    </row>
    <row r="160" spans="1:9">
      <c r="A160" s="8">
        <v>46009</v>
      </c>
      <c r="B160" s="1">
        <v>992</v>
      </c>
      <c r="C160" s="18" t="s">
        <v>15</v>
      </c>
      <c r="D160" s="1">
        <v>90</v>
      </c>
      <c r="E160" s="1">
        <v>90</v>
      </c>
      <c r="H160" s="15" t="s">
        <v>10</v>
      </c>
      <c r="I160" s="19"/>
    </row>
    <row r="161" spans="1:9">
      <c r="A161" s="8">
        <v>46009</v>
      </c>
      <c r="B161" s="1">
        <v>962</v>
      </c>
      <c r="C161" s="18" t="s">
        <v>19</v>
      </c>
      <c r="D161" s="1">
        <v>57</v>
      </c>
      <c r="E161" s="1">
        <v>57</v>
      </c>
      <c r="H161" s="15" t="s">
        <v>10</v>
      </c>
      <c r="I161" s="19"/>
    </row>
    <row r="162" spans="1:9">
      <c r="A162" s="8">
        <v>46009</v>
      </c>
      <c r="B162" s="1">
        <v>965</v>
      </c>
      <c r="C162" s="18" t="s">
        <v>28</v>
      </c>
      <c r="D162" s="1">
        <v>72</v>
      </c>
      <c r="E162" s="1">
        <v>72</v>
      </c>
      <c r="H162" s="15" t="s">
        <v>10</v>
      </c>
      <c r="I162" s="19"/>
    </row>
    <row r="163" spans="1:9">
      <c r="A163" s="8">
        <v>46009</v>
      </c>
      <c r="B163" s="1">
        <v>963</v>
      </c>
      <c r="C163" s="18" t="s">
        <v>18</v>
      </c>
      <c r="D163" s="1">
        <v>60</v>
      </c>
      <c r="E163" s="1">
        <v>60</v>
      </c>
      <c r="H163" s="15" t="s">
        <v>10</v>
      </c>
      <c r="I163" s="19"/>
    </row>
    <row r="164" spans="1:9">
      <c r="A164" s="8">
        <v>46009</v>
      </c>
      <c r="B164" s="1">
        <v>985</v>
      </c>
      <c r="C164" s="18" t="s">
        <v>26</v>
      </c>
      <c r="D164" s="1">
        <v>21</v>
      </c>
      <c r="E164" s="1">
        <v>21</v>
      </c>
      <c r="H164" s="15" t="s">
        <v>10</v>
      </c>
      <c r="I164" s="19"/>
    </row>
    <row r="165" spans="1:9">
      <c r="A165" s="8">
        <v>46009</v>
      </c>
      <c r="B165" s="1">
        <v>987</v>
      </c>
      <c r="C165" s="18" t="s">
        <v>16</v>
      </c>
      <c r="D165" s="1">
        <v>51</v>
      </c>
      <c r="E165" s="1">
        <v>51</v>
      </c>
      <c r="H165" s="15" t="s">
        <v>10</v>
      </c>
      <c r="I165" s="19"/>
    </row>
    <row r="166" spans="1:9">
      <c r="A166" s="8">
        <v>46009</v>
      </c>
      <c r="B166" s="1">
        <v>625</v>
      </c>
      <c r="C166" s="18" t="s">
        <v>12</v>
      </c>
      <c r="D166" s="1">
        <v>132</v>
      </c>
      <c r="E166" s="1">
        <v>132</v>
      </c>
      <c r="H166" s="15" t="s">
        <v>10</v>
      </c>
      <c r="I166" s="19"/>
    </row>
    <row r="167" spans="1:9">
      <c r="A167" s="8">
        <v>46009</v>
      </c>
      <c r="B167" s="1">
        <v>1861</v>
      </c>
      <c r="C167" s="18" t="s">
        <v>14</v>
      </c>
      <c r="D167" s="1">
        <v>66</v>
      </c>
      <c r="E167" s="1">
        <v>66</v>
      </c>
      <c r="H167" s="15" t="s">
        <v>10</v>
      </c>
      <c r="I167" s="19"/>
    </row>
    <row r="168" spans="1:9">
      <c r="A168" s="8">
        <v>46009</v>
      </c>
      <c r="B168" s="1">
        <v>661</v>
      </c>
      <c r="C168" s="18" t="s">
        <v>30</v>
      </c>
      <c r="D168" s="1">
        <v>69</v>
      </c>
      <c r="E168" s="1">
        <v>69</v>
      </c>
      <c r="H168" s="15" t="s">
        <v>10</v>
      </c>
      <c r="I168" s="19"/>
    </row>
    <row r="169" spans="1:9">
      <c r="A169" s="8">
        <v>46009</v>
      </c>
      <c r="B169" s="1">
        <v>807</v>
      </c>
      <c r="C169" s="18" t="s">
        <v>52</v>
      </c>
      <c r="D169" s="1">
        <v>310</v>
      </c>
      <c r="E169" s="1">
        <v>310</v>
      </c>
      <c r="H169" s="15" t="s">
        <v>10</v>
      </c>
      <c r="I169" s="19"/>
    </row>
    <row r="170" spans="1:9">
      <c r="A170" s="8">
        <v>46009</v>
      </c>
      <c r="B170" s="1">
        <v>855</v>
      </c>
      <c r="C170" s="18" t="s">
        <v>53</v>
      </c>
      <c r="D170" s="1">
        <v>310</v>
      </c>
      <c r="E170" s="1">
        <v>310</v>
      </c>
      <c r="H170" s="15" t="s">
        <v>10</v>
      </c>
      <c r="I170" s="19"/>
    </row>
    <row r="171" spans="1:9">
      <c r="A171" s="8">
        <v>46009</v>
      </c>
      <c r="B171" s="1">
        <v>856</v>
      </c>
      <c r="C171" s="18" t="s">
        <v>54</v>
      </c>
      <c r="D171" s="1">
        <v>310</v>
      </c>
      <c r="E171" s="1">
        <v>310</v>
      </c>
      <c r="H171" s="15" t="s">
        <v>10</v>
      </c>
      <c r="I171" s="19"/>
    </row>
    <row r="172" spans="1:9">
      <c r="A172" s="8">
        <v>46009</v>
      </c>
      <c r="B172" s="1">
        <v>820</v>
      </c>
      <c r="C172" s="18" t="s">
        <v>57</v>
      </c>
      <c r="D172" s="1">
        <v>705</v>
      </c>
      <c r="E172" s="1">
        <v>705</v>
      </c>
      <c r="H172" s="15" t="s">
        <v>10</v>
      </c>
      <c r="I172" s="19"/>
    </row>
    <row r="173" spans="1:9">
      <c r="A173" s="8">
        <v>46009</v>
      </c>
      <c r="B173" s="1">
        <v>810</v>
      </c>
      <c r="C173" s="18" t="s">
        <v>34</v>
      </c>
      <c r="D173" s="1">
        <v>513</v>
      </c>
      <c r="E173" s="1">
        <v>513</v>
      </c>
      <c r="H173" s="15" t="s">
        <v>10</v>
      </c>
      <c r="I173" s="19"/>
    </row>
    <row r="174" spans="1:9">
      <c r="A174" s="8">
        <v>46010</v>
      </c>
      <c r="B174" s="1">
        <v>609</v>
      </c>
      <c r="C174" s="18" t="s">
        <v>33</v>
      </c>
      <c r="D174" s="1">
        <v>435</v>
      </c>
      <c r="E174" s="1">
        <v>435</v>
      </c>
      <c r="H174" s="15" t="s">
        <v>10</v>
      </c>
      <c r="I174" s="19">
        <f>SUM(E174:E188)</f>
        <v>2786</v>
      </c>
    </row>
    <row r="175" spans="1:9">
      <c r="A175" s="8">
        <v>46010</v>
      </c>
      <c r="B175" s="1">
        <v>896</v>
      </c>
      <c r="C175" s="18" t="s">
        <v>31</v>
      </c>
      <c r="D175" s="1">
        <v>435</v>
      </c>
      <c r="E175" s="1">
        <v>435</v>
      </c>
      <c r="H175" s="15" t="s">
        <v>10</v>
      </c>
      <c r="I175" s="19"/>
    </row>
    <row r="176" spans="1:9">
      <c r="A176" s="8">
        <v>46010</v>
      </c>
      <c r="B176" s="1">
        <v>880</v>
      </c>
      <c r="C176" s="18" t="s">
        <v>32</v>
      </c>
      <c r="D176" s="1">
        <v>435</v>
      </c>
      <c r="E176" s="1">
        <v>435</v>
      </c>
      <c r="H176" s="15" t="s">
        <v>10</v>
      </c>
      <c r="I176" s="19"/>
    </row>
    <row r="177" spans="1:9">
      <c r="A177" s="8">
        <v>46010</v>
      </c>
      <c r="B177" s="1">
        <v>1861</v>
      </c>
      <c r="C177" s="18" t="s">
        <v>14</v>
      </c>
      <c r="D177" s="1">
        <v>138</v>
      </c>
      <c r="E177" s="1">
        <v>138</v>
      </c>
      <c r="H177" s="15" t="s">
        <v>10</v>
      </c>
      <c r="I177" s="19"/>
    </row>
    <row r="178" spans="1:9">
      <c r="A178" s="8">
        <v>46010</v>
      </c>
      <c r="B178" s="1">
        <v>6639</v>
      </c>
      <c r="C178" s="18" t="s">
        <v>9</v>
      </c>
      <c r="D178" s="1">
        <v>68</v>
      </c>
      <c r="E178" s="1">
        <v>68</v>
      </c>
      <c r="H178" s="15" t="s">
        <v>10</v>
      </c>
      <c r="I178" s="19"/>
    </row>
    <row r="179" spans="1:9">
      <c r="A179" s="8">
        <v>46010</v>
      </c>
      <c r="B179" s="1">
        <v>909</v>
      </c>
      <c r="C179" s="18" t="s">
        <v>11</v>
      </c>
      <c r="D179" s="1">
        <v>72</v>
      </c>
      <c r="E179" s="1">
        <v>72</v>
      </c>
      <c r="H179" s="15" t="s">
        <v>10</v>
      </c>
      <c r="I179" s="19"/>
    </row>
    <row r="180" spans="1:9">
      <c r="A180" s="8">
        <v>46010</v>
      </c>
      <c r="B180" s="1">
        <v>659</v>
      </c>
      <c r="C180" s="18" t="s">
        <v>21</v>
      </c>
      <c r="D180" s="1">
        <v>84</v>
      </c>
      <c r="E180" s="1">
        <v>84</v>
      </c>
      <c r="H180" s="15" t="s">
        <v>10</v>
      </c>
      <c r="I180" s="19"/>
    </row>
    <row r="181" spans="1:9">
      <c r="A181" s="8">
        <v>46010</v>
      </c>
      <c r="B181" s="1">
        <v>992</v>
      </c>
      <c r="C181" s="18" t="s">
        <v>15</v>
      </c>
      <c r="D181" s="1">
        <v>111</v>
      </c>
      <c r="E181" s="1">
        <v>111</v>
      </c>
      <c r="H181" s="15" t="s">
        <v>10</v>
      </c>
      <c r="I181" s="19"/>
    </row>
    <row r="182" spans="1:9">
      <c r="A182" s="8">
        <v>46010</v>
      </c>
      <c r="B182" s="1">
        <v>963</v>
      </c>
      <c r="C182" s="18" t="s">
        <v>18</v>
      </c>
      <c r="D182" s="1">
        <v>36</v>
      </c>
      <c r="E182" s="1">
        <v>36</v>
      </c>
      <c r="H182" s="15" t="s">
        <v>10</v>
      </c>
      <c r="I182" s="19"/>
    </row>
    <row r="183" spans="1:9">
      <c r="A183" s="8">
        <v>46010</v>
      </c>
      <c r="B183" s="1">
        <v>978</v>
      </c>
      <c r="C183" s="18" t="s">
        <v>25</v>
      </c>
      <c r="D183" s="1">
        <v>99</v>
      </c>
      <c r="E183" s="1">
        <v>99</v>
      </c>
      <c r="H183" s="15" t="s">
        <v>10</v>
      </c>
      <c r="I183" s="19"/>
    </row>
    <row r="184" spans="1:9">
      <c r="A184" s="8">
        <v>46010</v>
      </c>
      <c r="B184" s="1">
        <v>962</v>
      </c>
      <c r="C184" s="18" t="s">
        <v>19</v>
      </c>
      <c r="D184" s="1">
        <v>27</v>
      </c>
      <c r="E184" s="1">
        <v>27</v>
      </c>
      <c r="H184" s="15" t="s">
        <v>10</v>
      </c>
      <c r="I184" s="19"/>
    </row>
    <row r="185" spans="1:9">
      <c r="A185" s="8">
        <v>46010</v>
      </c>
      <c r="B185" s="1">
        <v>965</v>
      </c>
      <c r="C185" s="18" t="s">
        <v>28</v>
      </c>
      <c r="D185" s="1">
        <v>102</v>
      </c>
      <c r="E185" s="1">
        <v>102</v>
      </c>
      <c r="H185" s="15" t="s">
        <v>10</v>
      </c>
      <c r="I185" s="19"/>
    </row>
    <row r="186" spans="1:9">
      <c r="A186" s="8">
        <v>46010</v>
      </c>
      <c r="B186" s="1">
        <v>988</v>
      </c>
      <c r="C186" s="18" t="s">
        <v>17</v>
      </c>
      <c r="D186" s="1">
        <v>48</v>
      </c>
      <c r="E186" s="1">
        <v>48</v>
      </c>
      <c r="H186" s="15" t="s">
        <v>10</v>
      </c>
      <c r="I186" s="19"/>
    </row>
    <row r="187" spans="1:9">
      <c r="A187" s="8">
        <v>46010</v>
      </c>
      <c r="B187" s="1">
        <v>827</v>
      </c>
      <c r="C187" s="18" t="s">
        <v>50</v>
      </c>
      <c r="D187" s="1">
        <v>348</v>
      </c>
      <c r="E187" s="1">
        <v>348</v>
      </c>
      <c r="H187" s="15" t="s">
        <v>10</v>
      </c>
      <c r="I187" s="19"/>
    </row>
    <row r="188" spans="1:9">
      <c r="A188" s="8">
        <v>46010</v>
      </c>
      <c r="B188" s="1">
        <v>828</v>
      </c>
      <c r="C188" s="18" t="s">
        <v>51</v>
      </c>
      <c r="D188" s="1">
        <v>348</v>
      </c>
      <c r="E188" s="1">
        <v>348</v>
      </c>
      <c r="H188" s="15" t="s">
        <v>10</v>
      </c>
      <c r="I188" s="19"/>
    </row>
    <row r="189" spans="1:9">
      <c r="A189" s="8">
        <v>46011</v>
      </c>
      <c r="B189" s="1">
        <v>810</v>
      </c>
      <c r="C189" s="18" t="s">
        <v>34</v>
      </c>
      <c r="D189" s="1">
        <v>326</v>
      </c>
      <c r="E189" s="1">
        <v>326</v>
      </c>
      <c r="H189" s="15" t="s">
        <v>10</v>
      </c>
      <c r="I189" s="19">
        <f>SUM(E189:E202)</f>
        <v>2629</v>
      </c>
    </row>
    <row r="190" spans="1:9">
      <c r="A190" s="8">
        <v>46011</v>
      </c>
      <c r="B190" s="1">
        <v>850</v>
      </c>
      <c r="C190" s="18" t="s">
        <v>44</v>
      </c>
      <c r="D190" s="1">
        <v>326</v>
      </c>
      <c r="E190" s="1">
        <v>326</v>
      </c>
      <c r="H190" s="15" t="s">
        <v>10</v>
      </c>
      <c r="I190" s="19"/>
    </row>
    <row r="191" spans="1:9">
      <c r="A191" s="8">
        <v>46011</v>
      </c>
      <c r="B191" s="1">
        <v>851</v>
      </c>
      <c r="C191" s="18" t="s">
        <v>45</v>
      </c>
      <c r="D191" s="1">
        <v>326</v>
      </c>
      <c r="E191" s="1">
        <v>326</v>
      </c>
      <c r="H191" s="15" t="s">
        <v>10</v>
      </c>
      <c r="I191" s="19"/>
    </row>
    <row r="192" spans="1:9">
      <c r="A192" s="8">
        <v>46011</v>
      </c>
      <c r="B192" s="1">
        <v>859</v>
      </c>
      <c r="C192" s="18" t="s">
        <v>46</v>
      </c>
      <c r="D192" s="1">
        <v>326</v>
      </c>
      <c r="E192" s="1">
        <v>326</v>
      </c>
      <c r="H192" s="15" t="s">
        <v>10</v>
      </c>
      <c r="I192" s="19"/>
    </row>
    <row r="193" spans="1:9">
      <c r="A193" s="8">
        <v>46011</v>
      </c>
      <c r="B193" s="1">
        <v>809</v>
      </c>
      <c r="C193" s="18" t="s">
        <v>38</v>
      </c>
      <c r="D193" s="1">
        <v>870</v>
      </c>
      <c r="E193" s="1">
        <v>870</v>
      </c>
      <c r="H193" s="15" t="s">
        <v>10</v>
      </c>
      <c r="I193" s="19"/>
    </row>
    <row r="194" spans="1:9">
      <c r="A194" s="8">
        <v>46011</v>
      </c>
      <c r="B194" s="1">
        <v>632</v>
      </c>
      <c r="C194" s="18" t="s">
        <v>29</v>
      </c>
      <c r="D194" s="1">
        <v>20</v>
      </c>
      <c r="E194" s="1">
        <v>20</v>
      </c>
      <c r="H194" s="15" t="s">
        <v>10</v>
      </c>
      <c r="I194" s="19"/>
    </row>
    <row r="195" spans="1:9">
      <c r="A195" s="8">
        <v>46011</v>
      </c>
      <c r="B195" s="1">
        <v>1861</v>
      </c>
      <c r="C195" s="18" t="s">
        <v>14</v>
      </c>
      <c r="D195" s="1">
        <v>150</v>
      </c>
      <c r="E195" s="1">
        <v>150</v>
      </c>
      <c r="H195" s="15" t="s">
        <v>10</v>
      </c>
      <c r="I195" s="19"/>
    </row>
    <row r="196" spans="1:9">
      <c r="A196" s="8">
        <v>46011</v>
      </c>
      <c r="B196" s="1">
        <v>987</v>
      </c>
      <c r="C196" s="18" t="s">
        <v>16</v>
      </c>
      <c r="D196" s="1">
        <v>81</v>
      </c>
      <c r="E196" s="1">
        <v>81</v>
      </c>
      <c r="H196" s="15" t="s">
        <v>10</v>
      </c>
      <c r="I196" s="19"/>
    </row>
    <row r="197" spans="1:9">
      <c r="A197" s="8">
        <v>46011</v>
      </c>
      <c r="B197" s="1">
        <v>963</v>
      </c>
      <c r="C197" s="18" t="s">
        <v>18</v>
      </c>
      <c r="D197" s="1">
        <v>57</v>
      </c>
      <c r="E197" s="1">
        <v>57</v>
      </c>
      <c r="H197" s="15" t="s">
        <v>10</v>
      </c>
      <c r="I197" s="19"/>
    </row>
    <row r="198" spans="1:9">
      <c r="A198" s="8">
        <v>46011</v>
      </c>
      <c r="B198" s="1">
        <v>991</v>
      </c>
      <c r="C198" s="18" t="s">
        <v>27</v>
      </c>
      <c r="D198" s="1">
        <v>15</v>
      </c>
      <c r="E198" s="1">
        <v>15</v>
      </c>
      <c r="H198" s="15" t="s">
        <v>10</v>
      </c>
      <c r="I198" s="19"/>
    </row>
    <row r="199" spans="1:9">
      <c r="A199" s="8">
        <v>46011</v>
      </c>
      <c r="B199" s="1">
        <v>860</v>
      </c>
      <c r="C199" s="18" t="s">
        <v>58</v>
      </c>
      <c r="D199" s="1">
        <v>33</v>
      </c>
      <c r="E199" s="1">
        <v>33</v>
      </c>
      <c r="H199" s="15" t="s">
        <v>10</v>
      </c>
      <c r="I199" s="19"/>
    </row>
    <row r="200" spans="1:9">
      <c r="A200" s="8">
        <v>46011</v>
      </c>
      <c r="B200" s="1">
        <v>861</v>
      </c>
      <c r="C200" s="18" t="s">
        <v>59</v>
      </c>
      <c r="D200" s="1">
        <v>33</v>
      </c>
      <c r="E200" s="1">
        <v>33</v>
      </c>
      <c r="H200" s="15" t="s">
        <v>10</v>
      </c>
      <c r="I200" s="19"/>
    </row>
    <row r="201" spans="1:9">
      <c r="A201" s="8">
        <v>46011</v>
      </c>
      <c r="B201" s="1">
        <v>862</v>
      </c>
      <c r="C201" s="18" t="s">
        <v>60</v>
      </c>
      <c r="D201" s="1">
        <v>33</v>
      </c>
      <c r="E201" s="1">
        <v>33</v>
      </c>
      <c r="H201" s="15" t="s">
        <v>10</v>
      </c>
      <c r="I201" s="19"/>
    </row>
    <row r="202" spans="1:9">
      <c r="A202" s="8">
        <v>46011</v>
      </c>
      <c r="B202" s="1">
        <v>863</v>
      </c>
      <c r="C202" s="18" t="s">
        <v>61</v>
      </c>
      <c r="D202" s="1">
        <v>33</v>
      </c>
      <c r="E202" s="1">
        <v>33</v>
      </c>
      <c r="H202" s="15" t="s">
        <v>10</v>
      </c>
      <c r="I202" s="19"/>
    </row>
    <row r="203" spans="1:9">
      <c r="A203" s="8">
        <v>46013</v>
      </c>
      <c r="B203" s="1">
        <v>809</v>
      </c>
      <c r="C203" s="18" t="s">
        <v>38</v>
      </c>
      <c r="D203" s="1">
        <v>358</v>
      </c>
      <c r="E203" s="1">
        <v>358</v>
      </c>
      <c r="H203" s="15" t="s">
        <v>10</v>
      </c>
      <c r="I203" s="19">
        <f>SUM(E203:E216)</f>
        <v>3375</v>
      </c>
    </row>
    <row r="204" spans="1:9">
      <c r="A204" s="8">
        <v>46013</v>
      </c>
      <c r="B204" s="1">
        <v>837</v>
      </c>
      <c r="C204" s="18" t="s">
        <v>40</v>
      </c>
      <c r="D204" s="1">
        <v>358</v>
      </c>
      <c r="E204" s="1">
        <v>358</v>
      </c>
      <c r="H204" s="15" t="s">
        <v>10</v>
      </c>
      <c r="I204" s="19"/>
    </row>
    <row r="205" spans="1:9">
      <c r="A205" s="8">
        <v>46013</v>
      </c>
      <c r="B205" s="1">
        <v>838</v>
      </c>
      <c r="C205" s="18" t="s">
        <v>41</v>
      </c>
      <c r="D205" s="1">
        <v>358</v>
      </c>
      <c r="E205" s="1">
        <v>358</v>
      </c>
      <c r="H205" s="15" t="s">
        <v>10</v>
      </c>
      <c r="I205" s="19"/>
    </row>
    <row r="206" spans="1:9">
      <c r="A206" s="8">
        <v>46013</v>
      </c>
      <c r="B206" s="1">
        <v>850</v>
      </c>
      <c r="C206" s="18" t="s">
        <v>44</v>
      </c>
      <c r="D206" s="1">
        <v>324</v>
      </c>
      <c r="E206" s="1">
        <v>324</v>
      </c>
      <c r="H206" s="15" t="s">
        <v>10</v>
      </c>
      <c r="I206" s="19"/>
    </row>
    <row r="207" spans="1:9">
      <c r="A207" s="8">
        <v>46013</v>
      </c>
      <c r="B207" s="1">
        <v>851</v>
      </c>
      <c r="C207" s="18" t="s">
        <v>45</v>
      </c>
      <c r="D207" s="1">
        <v>324</v>
      </c>
      <c r="E207" s="1">
        <v>324</v>
      </c>
      <c r="H207" s="15" t="s">
        <v>10</v>
      </c>
      <c r="I207" s="19"/>
    </row>
    <row r="208" spans="1:9">
      <c r="A208" s="8">
        <v>46013</v>
      </c>
      <c r="B208" s="1">
        <v>859</v>
      </c>
      <c r="C208" s="18" t="s">
        <v>62</v>
      </c>
      <c r="D208" s="1">
        <v>324</v>
      </c>
      <c r="E208" s="1">
        <v>324</v>
      </c>
      <c r="H208" s="15" t="s">
        <v>10</v>
      </c>
      <c r="I208" s="19"/>
    </row>
    <row r="209" spans="1:9">
      <c r="A209" s="8">
        <v>46013</v>
      </c>
      <c r="B209" s="1">
        <v>962</v>
      </c>
      <c r="C209" s="18" t="s">
        <v>19</v>
      </c>
      <c r="D209" s="1">
        <v>32</v>
      </c>
      <c r="E209" s="1">
        <v>32</v>
      </c>
      <c r="H209" s="15" t="s">
        <v>10</v>
      </c>
      <c r="I209" s="19"/>
    </row>
    <row r="210" spans="1:9">
      <c r="A210" s="8">
        <v>46013</v>
      </c>
      <c r="B210" s="1">
        <v>991</v>
      </c>
      <c r="C210" s="18" t="s">
        <v>27</v>
      </c>
      <c r="D210" s="1">
        <v>20</v>
      </c>
      <c r="E210" s="1">
        <v>20</v>
      </c>
      <c r="H210" s="15" t="s">
        <v>10</v>
      </c>
      <c r="I210" s="19"/>
    </row>
    <row r="211" spans="1:9">
      <c r="A211" s="8">
        <v>46013</v>
      </c>
      <c r="B211" s="1">
        <v>963</v>
      </c>
      <c r="C211" s="18" t="s">
        <v>18</v>
      </c>
      <c r="D211" s="1">
        <v>87</v>
      </c>
      <c r="E211" s="1">
        <v>87</v>
      </c>
      <c r="H211" s="15" t="s">
        <v>10</v>
      </c>
      <c r="I211" s="19"/>
    </row>
    <row r="212" spans="1:9">
      <c r="A212" s="8">
        <v>46013</v>
      </c>
      <c r="B212" s="1">
        <v>909</v>
      </c>
      <c r="C212" s="18" t="s">
        <v>11</v>
      </c>
      <c r="D212" s="1">
        <v>68</v>
      </c>
      <c r="E212" s="1">
        <v>68</v>
      </c>
      <c r="H212" s="15" t="s">
        <v>10</v>
      </c>
      <c r="I212" s="19"/>
    </row>
    <row r="213" spans="1:9">
      <c r="A213" s="8">
        <v>46013</v>
      </c>
      <c r="B213" s="1">
        <v>1861</v>
      </c>
      <c r="C213" s="18" t="s">
        <v>14</v>
      </c>
      <c r="D213" s="1">
        <v>87</v>
      </c>
      <c r="E213" s="1">
        <v>87</v>
      </c>
      <c r="H213" s="15" t="s">
        <v>10</v>
      </c>
      <c r="I213" s="19"/>
    </row>
    <row r="214" spans="1:9">
      <c r="A214" s="8">
        <v>46013</v>
      </c>
      <c r="B214" s="1">
        <v>609</v>
      </c>
      <c r="C214" s="18" t="s">
        <v>33</v>
      </c>
      <c r="D214" s="1">
        <v>345</v>
      </c>
      <c r="E214" s="1">
        <v>345</v>
      </c>
      <c r="H214" s="15" t="s">
        <v>10</v>
      </c>
      <c r="I214" s="19"/>
    </row>
    <row r="215" spans="1:9">
      <c r="A215" s="8">
        <v>46013</v>
      </c>
      <c r="B215" s="1">
        <v>880</v>
      </c>
      <c r="C215" s="18" t="s">
        <v>32</v>
      </c>
      <c r="D215" s="1">
        <v>345</v>
      </c>
      <c r="E215" s="1">
        <v>345</v>
      </c>
      <c r="H215" s="15" t="s">
        <v>10</v>
      </c>
      <c r="I215" s="19"/>
    </row>
    <row r="216" spans="1:9">
      <c r="A216" s="8">
        <v>46013</v>
      </c>
      <c r="B216" s="1">
        <v>896</v>
      </c>
      <c r="C216" s="18" t="s">
        <v>31</v>
      </c>
      <c r="D216" s="1">
        <v>345</v>
      </c>
      <c r="E216" s="1">
        <v>345</v>
      </c>
      <c r="H216" s="15" t="s">
        <v>10</v>
      </c>
      <c r="I216" s="19"/>
    </row>
    <row r="217" spans="1:9">
      <c r="A217" s="8">
        <v>46014</v>
      </c>
      <c r="B217" s="1">
        <v>817</v>
      </c>
      <c r="C217" s="18" t="s">
        <v>36</v>
      </c>
      <c r="D217" s="1">
        <v>484</v>
      </c>
      <c r="E217" s="1">
        <v>484</v>
      </c>
      <c r="H217" s="15" t="s">
        <v>10</v>
      </c>
      <c r="I217" s="19">
        <f>SUM(E217:E227)</f>
        <v>3755</v>
      </c>
    </row>
    <row r="218" spans="1:9">
      <c r="A218" s="8">
        <v>46014</v>
      </c>
      <c r="B218" s="1">
        <v>880</v>
      </c>
      <c r="C218" s="18" t="s">
        <v>32</v>
      </c>
      <c r="D218" s="1">
        <v>484</v>
      </c>
      <c r="E218" s="1">
        <v>484</v>
      </c>
      <c r="H218" s="15" t="s">
        <v>10</v>
      </c>
      <c r="I218" s="19"/>
    </row>
    <row r="219" spans="1:9">
      <c r="A219" s="8">
        <v>46014</v>
      </c>
      <c r="B219" s="1">
        <v>850</v>
      </c>
      <c r="C219" s="18" t="s">
        <v>44</v>
      </c>
      <c r="D219" s="1">
        <v>484</v>
      </c>
      <c r="E219" s="1">
        <v>484</v>
      </c>
      <c r="H219" s="15" t="s">
        <v>10</v>
      </c>
      <c r="I219" s="19"/>
    </row>
    <row r="220" spans="1:9">
      <c r="A220" s="8">
        <v>46014</v>
      </c>
      <c r="B220" s="1">
        <v>909</v>
      </c>
      <c r="C220" s="18" t="s">
        <v>11</v>
      </c>
      <c r="D220" s="1">
        <v>46</v>
      </c>
      <c r="E220" s="1">
        <v>46</v>
      </c>
      <c r="H220" s="15" t="s">
        <v>10</v>
      </c>
      <c r="I220" s="19"/>
    </row>
    <row r="221" spans="1:9">
      <c r="A221" s="8">
        <v>46014</v>
      </c>
      <c r="B221" s="1">
        <v>1861</v>
      </c>
      <c r="C221" s="18" t="s">
        <v>14</v>
      </c>
      <c r="D221" s="1">
        <v>159</v>
      </c>
      <c r="E221" s="1">
        <v>159</v>
      </c>
      <c r="H221" s="15" t="s">
        <v>10</v>
      </c>
      <c r="I221" s="19"/>
    </row>
    <row r="222" spans="1:9">
      <c r="A222" s="8">
        <v>46014</v>
      </c>
      <c r="B222" s="1">
        <v>632</v>
      </c>
      <c r="C222" s="18" t="s">
        <v>29</v>
      </c>
      <c r="D222" s="1">
        <v>42</v>
      </c>
      <c r="E222" s="1">
        <v>42</v>
      </c>
      <c r="H222" s="15" t="s">
        <v>10</v>
      </c>
      <c r="I222" s="19"/>
    </row>
    <row r="223" spans="1:9">
      <c r="A223" s="8">
        <v>46014</v>
      </c>
      <c r="B223" s="1">
        <v>981</v>
      </c>
      <c r="C223" s="18" t="s">
        <v>13</v>
      </c>
      <c r="D223" s="1">
        <v>36</v>
      </c>
      <c r="E223" s="1">
        <v>36</v>
      </c>
      <c r="H223" s="15" t="s">
        <v>10</v>
      </c>
      <c r="I223" s="19"/>
    </row>
    <row r="224" spans="1:9">
      <c r="A224" s="8">
        <v>46014</v>
      </c>
      <c r="B224" s="1">
        <v>813</v>
      </c>
      <c r="C224" s="18" t="s">
        <v>49</v>
      </c>
      <c r="D224" s="1">
        <v>224</v>
      </c>
      <c r="E224" s="1">
        <v>224</v>
      </c>
      <c r="H224" s="15" t="s">
        <v>10</v>
      </c>
      <c r="I224" s="19"/>
    </row>
    <row r="225" spans="1:9">
      <c r="A225" s="8">
        <v>46014</v>
      </c>
      <c r="B225" s="1">
        <v>813</v>
      </c>
      <c r="C225" s="18" t="s">
        <v>49</v>
      </c>
      <c r="D225" s="1">
        <v>684</v>
      </c>
      <c r="E225" s="1">
        <v>684</v>
      </c>
      <c r="H225" s="15" t="s">
        <v>10</v>
      </c>
      <c r="I225" s="19"/>
    </row>
    <row r="226" spans="1:9">
      <c r="A226" s="8">
        <v>46014</v>
      </c>
      <c r="B226" s="1">
        <v>807</v>
      </c>
      <c r="C226" s="18" t="s">
        <v>52</v>
      </c>
      <c r="D226" s="1">
        <v>556</v>
      </c>
      <c r="E226" s="1">
        <v>556</v>
      </c>
      <c r="H226" s="15" t="s">
        <v>10</v>
      </c>
      <c r="I226" s="19"/>
    </row>
    <row r="227" spans="1:9">
      <c r="A227" s="8">
        <v>46014</v>
      </c>
      <c r="B227" s="1">
        <v>856</v>
      </c>
      <c r="C227" s="18" t="s">
        <v>54</v>
      </c>
      <c r="D227" s="1">
        <v>556</v>
      </c>
      <c r="E227" s="1">
        <v>556</v>
      </c>
      <c r="H227" s="15" t="s">
        <v>10</v>
      </c>
      <c r="I227" s="19"/>
    </row>
    <row r="228" spans="1:9">
      <c r="A228" s="8">
        <v>46015</v>
      </c>
      <c r="B228" s="1">
        <v>809</v>
      </c>
      <c r="C228" s="18" t="s">
        <v>38</v>
      </c>
      <c r="D228" s="1">
        <v>302</v>
      </c>
      <c r="E228" s="1">
        <v>302</v>
      </c>
      <c r="H228" s="15" t="s">
        <v>10</v>
      </c>
      <c r="I228" s="19">
        <f>SUM(E228:E251)</f>
        <v>4680</v>
      </c>
    </row>
    <row r="229" spans="1:9">
      <c r="A229" s="8">
        <v>46015</v>
      </c>
      <c r="B229" s="1">
        <v>837</v>
      </c>
      <c r="C229" s="18" t="s">
        <v>40</v>
      </c>
      <c r="D229" s="1">
        <v>302</v>
      </c>
      <c r="E229" s="1">
        <v>302</v>
      </c>
      <c r="H229" s="15" t="s">
        <v>10</v>
      </c>
      <c r="I229" s="19"/>
    </row>
    <row r="230" spans="1:9">
      <c r="A230" s="8">
        <v>46015</v>
      </c>
      <c r="B230" s="1">
        <v>871</v>
      </c>
      <c r="C230" s="18" t="s">
        <v>63</v>
      </c>
      <c r="D230" s="1">
        <v>302</v>
      </c>
      <c r="E230" s="1">
        <v>302</v>
      </c>
      <c r="H230" s="15" t="s">
        <v>10</v>
      </c>
      <c r="I230" s="19"/>
    </row>
    <row r="231" spans="1:9">
      <c r="A231" s="8">
        <v>46015</v>
      </c>
      <c r="B231" s="1">
        <v>838</v>
      </c>
      <c r="C231" s="18" t="s">
        <v>41</v>
      </c>
      <c r="D231" s="1">
        <v>302</v>
      </c>
      <c r="E231" s="1">
        <v>302</v>
      </c>
      <c r="H231" s="15" t="s">
        <v>10</v>
      </c>
      <c r="I231" s="19"/>
    </row>
    <row r="232" spans="1:9">
      <c r="A232" s="8">
        <v>46015</v>
      </c>
      <c r="B232" s="1">
        <v>1861</v>
      </c>
      <c r="C232" s="18" t="s">
        <v>14</v>
      </c>
      <c r="D232" s="1">
        <v>117</v>
      </c>
      <c r="E232" s="1">
        <v>117</v>
      </c>
      <c r="H232" s="15" t="s">
        <v>10</v>
      </c>
      <c r="I232" s="19"/>
    </row>
    <row r="233" spans="1:9">
      <c r="A233" s="8">
        <v>46015</v>
      </c>
      <c r="B233" s="1">
        <v>625</v>
      </c>
      <c r="C233" s="18" t="s">
        <v>12</v>
      </c>
      <c r="D233" s="1">
        <v>144</v>
      </c>
      <c r="E233" s="1">
        <v>144</v>
      </c>
      <c r="H233" s="15" t="s">
        <v>10</v>
      </c>
      <c r="I233" s="19"/>
    </row>
    <row r="234" spans="1:9">
      <c r="A234" s="8">
        <v>46015</v>
      </c>
      <c r="B234" s="1">
        <v>8839</v>
      </c>
      <c r="C234" s="18" t="s">
        <v>20</v>
      </c>
      <c r="D234" s="1">
        <v>102</v>
      </c>
      <c r="E234" s="1">
        <v>102</v>
      </c>
      <c r="H234" s="15" t="s">
        <v>10</v>
      </c>
      <c r="I234" s="19"/>
    </row>
    <row r="235" spans="1:9">
      <c r="A235" s="8">
        <v>46015</v>
      </c>
      <c r="B235" s="1">
        <v>992</v>
      </c>
      <c r="C235" s="18" t="s">
        <v>15</v>
      </c>
      <c r="D235" s="1">
        <v>84</v>
      </c>
      <c r="E235" s="1">
        <v>84</v>
      </c>
      <c r="H235" s="15" t="s">
        <v>10</v>
      </c>
      <c r="I235" s="19"/>
    </row>
    <row r="236" spans="1:9">
      <c r="A236" s="8">
        <v>46015</v>
      </c>
      <c r="B236" s="1">
        <v>985</v>
      </c>
      <c r="C236" s="18" t="s">
        <v>26</v>
      </c>
      <c r="D236" s="1">
        <v>52</v>
      </c>
      <c r="E236" s="1">
        <v>52</v>
      </c>
      <c r="H236" s="15" t="s">
        <v>10</v>
      </c>
      <c r="I236" s="19"/>
    </row>
    <row r="237" spans="1:9">
      <c r="A237" s="8">
        <v>46015</v>
      </c>
      <c r="B237" s="1">
        <v>987</v>
      </c>
      <c r="C237" s="18" t="s">
        <v>16</v>
      </c>
      <c r="D237" s="1">
        <v>141</v>
      </c>
      <c r="E237" s="1">
        <v>141</v>
      </c>
      <c r="H237" s="15" t="s">
        <v>10</v>
      </c>
      <c r="I237" s="19"/>
    </row>
    <row r="238" spans="1:9">
      <c r="A238" s="8">
        <v>46015</v>
      </c>
      <c r="B238" s="1">
        <v>965</v>
      </c>
      <c r="C238" s="18" t="s">
        <v>28</v>
      </c>
      <c r="D238" s="1">
        <v>102</v>
      </c>
      <c r="E238" s="1">
        <v>102</v>
      </c>
      <c r="H238" s="15" t="s">
        <v>10</v>
      </c>
      <c r="I238" s="19"/>
    </row>
    <row r="239" spans="1:9">
      <c r="A239" s="8">
        <v>46015</v>
      </c>
      <c r="B239" s="1">
        <v>860</v>
      </c>
      <c r="C239" s="18" t="s">
        <v>58</v>
      </c>
      <c r="D239" s="1">
        <v>240</v>
      </c>
      <c r="E239" s="1">
        <v>240</v>
      </c>
      <c r="H239" s="15" t="s">
        <v>10</v>
      </c>
      <c r="I239" s="19"/>
    </row>
    <row r="240" spans="1:9">
      <c r="A240" s="8">
        <v>46015</v>
      </c>
      <c r="B240" s="1">
        <v>861</v>
      </c>
      <c r="C240" s="18" t="s">
        <v>59</v>
      </c>
      <c r="D240" s="1">
        <v>240</v>
      </c>
      <c r="E240" s="1">
        <v>240</v>
      </c>
      <c r="H240" s="15" t="s">
        <v>10</v>
      </c>
      <c r="I240" s="19"/>
    </row>
    <row r="241" spans="1:9">
      <c r="A241" s="8">
        <v>46015</v>
      </c>
      <c r="B241" s="1">
        <v>862</v>
      </c>
      <c r="C241" s="18" t="s">
        <v>60</v>
      </c>
      <c r="D241" s="1">
        <v>240</v>
      </c>
      <c r="E241" s="1">
        <v>240</v>
      </c>
      <c r="H241" s="15" t="s">
        <v>10</v>
      </c>
      <c r="I241" s="19"/>
    </row>
    <row r="242" spans="1:9">
      <c r="A242" s="8">
        <v>46015</v>
      </c>
      <c r="B242" s="1">
        <v>863</v>
      </c>
      <c r="C242" s="18" t="s">
        <v>61</v>
      </c>
      <c r="D242" s="1">
        <v>240</v>
      </c>
      <c r="E242" s="1">
        <v>240</v>
      </c>
      <c r="H242" s="15" t="s">
        <v>10</v>
      </c>
      <c r="I242" s="19"/>
    </row>
    <row r="243" spans="1:9">
      <c r="A243" s="8">
        <v>46015</v>
      </c>
      <c r="B243" s="1">
        <v>817</v>
      </c>
      <c r="C243" s="18" t="s">
        <v>36</v>
      </c>
      <c r="D243" s="1">
        <v>296</v>
      </c>
      <c r="E243" s="1">
        <v>296</v>
      </c>
      <c r="H243" s="15" t="s">
        <v>10</v>
      </c>
      <c r="I243" s="19"/>
    </row>
    <row r="244" spans="1:9">
      <c r="A244" s="8">
        <v>46015</v>
      </c>
      <c r="B244" s="1">
        <v>818</v>
      </c>
      <c r="C244" s="18" t="s">
        <v>37</v>
      </c>
      <c r="D244" s="1">
        <v>296</v>
      </c>
      <c r="E244" s="1">
        <v>296</v>
      </c>
      <c r="H244" s="15" t="s">
        <v>10</v>
      </c>
      <c r="I244" s="19"/>
    </row>
    <row r="245" spans="1:9">
      <c r="A245" s="8">
        <v>46015</v>
      </c>
      <c r="B245" s="1">
        <v>858</v>
      </c>
      <c r="C245" s="18" t="s">
        <v>56</v>
      </c>
      <c r="D245" s="1">
        <v>296</v>
      </c>
      <c r="E245" s="1">
        <v>296</v>
      </c>
      <c r="H245" s="15" t="s">
        <v>10</v>
      </c>
      <c r="I245" s="19"/>
    </row>
    <row r="246" spans="1:9">
      <c r="A246" s="8">
        <v>46015</v>
      </c>
      <c r="B246" s="1">
        <v>827</v>
      </c>
      <c r="C246" s="18" t="s">
        <v>50</v>
      </c>
      <c r="D246" s="1">
        <v>368</v>
      </c>
      <c r="E246" s="1">
        <v>368</v>
      </c>
      <c r="H246" s="15" t="s">
        <v>10</v>
      </c>
      <c r="I246" s="19"/>
    </row>
    <row r="247" spans="1:9">
      <c r="A247" s="8">
        <v>46015</v>
      </c>
      <c r="B247" s="1">
        <v>828</v>
      </c>
      <c r="C247" s="18" t="s">
        <v>51</v>
      </c>
      <c r="D247" s="1">
        <v>184</v>
      </c>
      <c r="E247" s="1">
        <v>184</v>
      </c>
      <c r="H247" s="15" t="s">
        <v>10</v>
      </c>
      <c r="I247" s="19"/>
    </row>
    <row r="248" spans="1:9">
      <c r="A248" s="8">
        <v>46015</v>
      </c>
      <c r="B248" s="1">
        <v>909</v>
      </c>
      <c r="C248" s="18" t="s">
        <v>11</v>
      </c>
      <c r="D248" s="1">
        <v>187</v>
      </c>
      <c r="E248" s="1">
        <v>187</v>
      </c>
      <c r="H248" s="15" t="s">
        <v>10</v>
      </c>
      <c r="I248" s="19"/>
    </row>
    <row r="249" spans="1:9">
      <c r="A249" s="8">
        <v>46015</v>
      </c>
      <c r="B249" s="1">
        <v>659</v>
      </c>
      <c r="C249" s="18" t="s">
        <v>21</v>
      </c>
      <c r="D249" s="1">
        <v>25</v>
      </c>
      <c r="E249" s="1">
        <v>25</v>
      </c>
      <c r="H249" s="15" t="s">
        <v>10</v>
      </c>
      <c r="I249" s="19"/>
    </row>
    <row r="250" spans="1:9">
      <c r="A250" s="8">
        <v>46015</v>
      </c>
      <c r="B250" s="1">
        <v>6639</v>
      </c>
      <c r="C250" s="18" t="s">
        <v>9</v>
      </c>
      <c r="D250" s="1">
        <v>88</v>
      </c>
      <c r="E250" s="1">
        <v>88</v>
      </c>
      <c r="H250" s="15" t="s">
        <v>10</v>
      </c>
      <c r="I250" s="19"/>
    </row>
    <row r="251" spans="1:9">
      <c r="A251" s="8">
        <v>46015</v>
      </c>
      <c r="B251" s="1">
        <v>625</v>
      </c>
      <c r="C251" s="18" t="s">
        <v>12</v>
      </c>
      <c r="D251" s="1">
        <v>30</v>
      </c>
      <c r="E251" s="1">
        <v>30</v>
      </c>
      <c r="H251" s="15" t="s">
        <v>10</v>
      </c>
      <c r="I251" s="19"/>
    </row>
    <row r="252" spans="1:9">
      <c r="A252" s="8">
        <v>46016</v>
      </c>
      <c r="B252" s="1">
        <v>875</v>
      </c>
      <c r="C252" s="18" t="s">
        <v>42</v>
      </c>
      <c r="D252" s="1">
        <v>411</v>
      </c>
      <c r="E252" s="1">
        <v>411</v>
      </c>
      <c r="H252" s="15" t="s">
        <v>10</v>
      </c>
      <c r="I252" s="19">
        <f>SUM(E252:E270)</f>
        <v>4206</v>
      </c>
    </row>
    <row r="253" spans="1:9">
      <c r="A253" s="8">
        <v>46016</v>
      </c>
      <c r="B253" s="1">
        <v>9875</v>
      </c>
      <c r="C253" s="18" t="s">
        <v>43</v>
      </c>
      <c r="D253" s="1">
        <v>411</v>
      </c>
      <c r="E253" s="1">
        <v>411</v>
      </c>
      <c r="H253" s="15" t="s">
        <v>10</v>
      </c>
      <c r="I253" s="19"/>
    </row>
    <row r="254" spans="1:9">
      <c r="A254" s="8">
        <v>46016</v>
      </c>
      <c r="B254" s="1">
        <v>851</v>
      </c>
      <c r="C254" s="18" t="s">
        <v>45</v>
      </c>
      <c r="D254" s="1">
        <v>330</v>
      </c>
      <c r="E254" s="1">
        <v>330</v>
      </c>
      <c r="H254" s="15" t="s">
        <v>10</v>
      </c>
      <c r="I254" s="19"/>
    </row>
    <row r="255" spans="1:9">
      <c r="A255" s="8">
        <v>46016</v>
      </c>
      <c r="B255" s="1">
        <v>858</v>
      </c>
      <c r="C255" s="18" t="s">
        <v>56</v>
      </c>
      <c r="D255" s="1">
        <v>330</v>
      </c>
      <c r="E255" s="1">
        <v>330</v>
      </c>
      <c r="H255" s="15" t="s">
        <v>10</v>
      </c>
      <c r="I255" s="19"/>
    </row>
    <row r="256" spans="1:9">
      <c r="A256" s="8">
        <v>46016</v>
      </c>
      <c r="B256" s="1">
        <v>859</v>
      </c>
      <c r="C256" s="18" t="s">
        <v>62</v>
      </c>
      <c r="D256" s="1">
        <v>330</v>
      </c>
      <c r="E256" s="1">
        <v>330</v>
      </c>
      <c r="H256" s="15" t="s">
        <v>10</v>
      </c>
      <c r="I256" s="19"/>
    </row>
    <row r="257" spans="1:9">
      <c r="A257" s="8">
        <v>46016</v>
      </c>
      <c r="B257" s="1">
        <v>909</v>
      </c>
      <c r="C257" s="18" t="s">
        <v>11</v>
      </c>
      <c r="D257" s="1">
        <v>56</v>
      </c>
      <c r="E257" s="1">
        <v>56</v>
      </c>
      <c r="H257" s="15" t="s">
        <v>10</v>
      </c>
      <c r="I257" s="19"/>
    </row>
    <row r="258" spans="1:9">
      <c r="A258" s="8">
        <v>46016</v>
      </c>
      <c r="B258" s="1">
        <v>6639</v>
      </c>
      <c r="C258" s="18" t="s">
        <v>9</v>
      </c>
      <c r="D258" s="1">
        <v>104</v>
      </c>
      <c r="E258" s="1">
        <v>104</v>
      </c>
      <c r="H258" s="15" t="s">
        <v>10</v>
      </c>
      <c r="I258" s="19"/>
    </row>
    <row r="259" spans="1:9">
      <c r="A259" s="8">
        <v>46016</v>
      </c>
      <c r="B259" s="1">
        <v>625</v>
      </c>
      <c r="C259" s="18" t="s">
        <v>12</v>
      </c>
      <c r="D259" s="1">
        <v>68</v>
      </c>
      <c r="E259" s="1">
        <v>68</v>
      </c>
      <c r="H259" s="15" t="s">
        <v>10</v>
      </c>
      <c r="I259" s="19"/>
    </row>
    <row r="260" spans="1:9">
      <c r="A260" s="8">
        <v>46016</v>
      </c>
      <c r="B260" s="1">
        <v>1861</v>
      </c>
      <c r="C260" s="18" t="s">
        <v>14</v>
      </c>
      <c r="D260" s="1">
        <v>75</v>
      </c>
      <c r="E260" s="1">
        <v>75</v>
      </c>
      <c r="H260" s="15" t="s">
        <v>10</v>
      </c>
      <c r="I260" s="19"/>
    </row>
    <row r="261" spans="1:9">
      <c r="A261" s="8">
        <v>46016</v>
      </c>
      <c r="B261" s="1">
        <v>963</v>
      </c>
      <c r="C261" s="18" t="s">
        <v>18</v>
      </c>
      <c r="D261" s="1">
        <v>52</v>
      </c>
      <c r="E261" s="1">
        <v>52</v>
      </c>
      <c r="H261" s="15" t="s">
        <v>10</v>
      </c>
      <c r="I261" s="19"/>
    </row>
    <row r="262" spans="1:9">
      <c r="A262" s="8">
        <v>46016</v>
      </c>
      <c r="B262" s="1">
        <v>985</v>
      </c>
      <c r="C262" s="18" t="s">
        <v>26</v>
      </c>
      <c r="D262" s="1">
        <v>20</v>
      </c>
      <c r="E262" s="1">
        <v>20</v>
      </c>
      <c r="H262" s="15" t="s">
        <v>10</v>
      </c>
      <c r="I262" s="19"/>
    </row>
    <row r="263" spans="1:9">
      <c r="A263" s="8">
        <v>46016</v>
      </c>
      <c r="B263" s="1">
        <v>991</v>
      </c>
      <c r="C263" s="18" t="s">
        <v>27</v>
      </c>
      <c r="D263" s="1">
        <v>20</v>
      </c>
      <c r="E263" s="1">
        <v>20</v>
      </c>
      <c r="H263" s="15" t="s">
        <v>10</v>
      </c>
      <c r="I263" s="19"/>
    </row>
    <row r="264" spans="1:9">
      <c r="A264" s="8">
        <v>46016</v>
      </c>
      <c r="B264" s="1">
        <v>827</v>
      </c>
      <c r="C264" s="18" t="s">
        <v>50</v>
      </c>
      <c r="D264" s="1">
        <v>388</v>
      </c>
      <c r="E264" s="1">
        <v>388</v>
      </c>
      <c r="H264" s="15" t="s">
        <v>10</v>
      </c>
      <c r="I264" s="19"/>
    </row>
    <row r="265" spans="1:9">
      <c r="A265" s="8">
        <v>46016</v>
      </c>
      <c r="B265" s="1">
        <v>828</v>
      </c>
      <c r="C265" s="18" t="s">
        <v>51</v>
      </c>
      <c r="D265" s="1">
        <v>194</v>
      </c>
      <c r="E265" s="1">
        <v>194</v>
      </c>
      <c r="H265" s="15" t="s">
        <v>10</v>
      </c>
      <c r="I265" s="19"/>
    </row>
    <row r="266" spans="1:9">
      <c r="A266" s="8">
        <v>46016</v>
      </c>
      <c r="B266" s="1">
        <v>981</v>
      </c>
      <c r="C266" s="18" t="s">
        <v>13</v>
      </c>
      <c r="D266" s="1">
        <v>20</v>
      </c>
      <c r="E266" s="1">
        <v>20</v>
      </c>
      <c r="H266" s="15" t="s">
        <v>10</v>
      </c>
      <c r="I266" s="19"/>
    </row>
    <row r="267" spans="1:9">
      <c r="A267" s="8">
        <v>46016</v>
      </c>
      <c r="B267" s="1">
        <v>880</v>
      </c>
      <c r="C267" s="18" t="s">
        <v>32</v>
      </c>
      <c r="D267" s="1">
        <v>447</v>
      </c>
      <c r="E267" s="1">
        <v>447</v>
      </c>
      <c r="H267" s="15" t="s">
        <v>10</v>
      </c>
      <c r="I267" s="19"/>
    </row>
    <row r="268" spans="1:9">
      <c r="A268" s="8">
        <v>46016</v>
      </c>
      <c r="B268" s="1">
        <v>896</v>
      </c>
      <c r="C268" s="18" t="s">
        <v>31</v>
      </c>
      <c r="D268" s="1">
        <v>447</v>
      </c>
      <c r="E268" s="1">
        <v>447</v>
      </c>
      <c r="H268" s="15" t="s">
        <v>10</v>
      </c>
      <c r="I268" s="19"/>
    </row>
    <row r="269" spans="1:9">
      <c r="A269" s="8">
        <v>46016</v>
      </c>
      <c r="B269" s="1">
        <v>609</v>
      </c>
      <c r="C269" s="18" t="s">
        <v>33</v>
      </c>
      <c r="D269" s="1">
        <v>447</v>
      </c>
      <c r="E269" s="1">
        <v>447</v>
      </c>
      <c r="H269" s="15" t="s">
        <v>10</v>
      </c>
      <c r="I269" s="19"/>
    </row>
    <row r="270" spans="1:9">
      <c r="A270" s="8">
        <v>46016</v>
      </c>
      <c r="B270" s="1">
        <v>632</v>
      </c>
      <c r="C270" s="18" t="s">
        <v>29</v>
      </c>
      <c r="D270" s="1">
        <v>56</v>
      </c>
      <c r="E270" s="1">
        <v>56</v>
      </c>
      <c r="H270" s="15" t="s">
        <v>10</v>
      </c>
      <c r="I270" s="19"/>
    </row>
    <row r="271" spans="1:9">
      <c r="A271" s="8">
        <v>46018</v>
      </c>
      <c r="B271" s="1">
        <v>835</v>
      </c>
      <c r="C271" s="18" t="s">
        <v>64</v>
      </c>
      <c r="D271" s="1">
        <v>495</v>
      </c>
      <c r="E271" s="1">
        <v>495</v>
      </c>
      <c r="H271" s="15" t="s">
        <v>10</v>
      </c>
      <c r="I271" s="19">
        <f>SUM(E271:E288)</f>
        <v>4573</v>
      </c>
    </row>
    <row r="272" spans="1:9">
      <c r="A272" s="8">
        <v>46018</v>
      </c>
      <c r="B272" s="1">
        <v>871</v>
      </c>
      <c r="C272" s="18" t="s">
        <v>63</v>
      </c>
      <c r="D272" s="1">
        <v>495</v>
      </c>
      <c r="E272" s="1">
        <v>495</v>
      </c>
      <c r="H272" s="15" t="s">
        <v>10</v>
      </c>
      <c r="I272" s="19"/>
    </row>
    <row r="273" spans="1:9">
      <c r="A273" s="8">
        <v>46018</v>
      </c>
      <c r="B273" s="1">
        <v>609</v>
      </c>
      <c r="C273" s="18" t="s">
        <v>33</v>
      </c>
      <c r="D273" s="1">
        <v>423</v>
      </c>
      <c r="E273" s="1">
        <v>423</v>
      </c>
      <c r="H273" s="15" t="s">
        <v>10</v>
      </c>
      <c r="I273" s="19"/>
    </row>
    <row r="274" spans="1:9">
      <c r="A274" s="8">
        <v>46018</v>
      </c>
      <c r="B274" s="1">
        <v>818</v>
      </c>
      <c r="C274" s="18" t="s">
        <v>37</v>
      </c>
      <c r="D274" s="1">
        <v>423</v>
      </c>
      <c r="E274" s="1">
        <v>423</v>
      </c>
      <c r="H274" s="15" t="s">
        <v>10</v>
      </c>
      <c r="I274" s="19"/>
    </row>
    <row r="275" spans="1:9">
      <c r="A275" s="8">
        <v>46018</v>
      </c>
      <c r="B275" s="1">
        <v>880</v>
      </c>
      <c r="C275" s="18" t="s">
        <v>32</v>
      </c>
      <c r="D275" s="1">
        <v>423</v>
      </c>
      <c r="E275" s="1">
        <v>423</v>
      </c>
      <c r="H275" s="15" t="s">
        <v>10</v>
      </c>
      <c r="I275" s="19"/>
    </row>
    <row r="276" spans="1:9">
      <c r="A276" s="8">
        <v>46018</v>
      </c>
      <c r="B276" s="1">
        <v>8839</v>
      </c>
      <c r="C276" s="18" t="s">
        <v>20</v>
      </c>
      <c r="D276" s="1">
        <v>96</v>
      </c>
      <c r="E276" s="1">
        <v>96</v>
      </c>
      <c r="H276" s="15" t="s">
        <v>10</v>
      </c>
      <c r="I276" s="19"/>
    </row>
    <row r="277" spans="1:9">
      <c r="A277" s="8">
        <v>46018</v>
      </c>
      <c r="B277" s="1">
        <v>1861</v>
      </c>
      <c r="C277" s="18" t="s">
        <v>14</v>
      </c>
      <c r="D277" s="1">
        <v>66</v>
      </c>
      <c r="E277" s="1">
        <v>66</v>
      </c>
      <c r="H277" s="15" t="s">
        <v>10</v>
      </c>
      <c r="I277" s="19"/>
    </row>
    <row r="278" spans="1:9">
      <c r="A278" s="8">
        <v>46018</v>
      </c>
      <c r="B278" s="1">
        <v>987</v>
      </c>
      <c r="C278" s="18" t="s">
        <v>16</v>
      </c>
      <c r="D278" s="1">
        <v>243</v>
      </c>
      <c r="E278" s="1">
        <v>243</v>
      </c>
      <c r="H278" s="15" t="s">
        <v>10</v>
      </c>
      <c r="I278" s="19"/>
    </row>
    <row r="279" spans="1:9">
      <c r="A279" s="8">
        <v>46018</v>
      </c>
      <c r="B279" s="1">
        <v>978</v>
      </c>
      <c r="C279" s="18" t="s">
        <v>25</v>
      </c>
      <c r="D279" s="1">
        <v>171</v>
      </c>
      <c r="E279" s="1">
        <v>171</v>
      </c>
      <c r="H279" s="15" t="s">
        <v>10</v>
      </c>
      <c r="I279" s="19"/>
    </row>
    <row r="280" spans="1:9">
      <c r="A280" s="8">
        <v>46018</v>
      </c>
      <c r="B280" s="1">
        <v>988</v>
      </c>
      <c r="C280" s="18" t="s">
        <v>17</v>
      </c>
      <c r="D280" s="1">
        <v>20</v>
      </c>
      <c r="E280" s="1">
        <v>20</v>
      </c>
      <c r="H280" s="15" t="s">
        <v>10</v>
      </c>
      <c r="I280" s="19"/>
    </row>
    <row r="281" spans="1:9">
      <c r="A281" s="8">
        <v>46018</v>
      </c>
      <c r="B281" s="1">
        <v>991</v>
      </c>
      <c r="C281" s="18" t="s">
        <v>27</v>
      </c>
      <c r="D281" s="1">
        <v>90</v>
      </c>
      <c r="E281" s="1">
        <v>90</v>
      </c>
      <c r="H281" s="15" t="s">
        <v>10</v>
      </c>
      <c r="I281" s="19"/>
    </row>
    <row r="282" spans="1:9">
      <c r="A282" s="8">
        <v>46018</v>
      </c>
      <c r="B282" s="1">
        <v>992</v>
      </c>
      <c r="C282" s="18" t="s">
        <v>15</v>
      </c>
      <c r="D282" s="1">
        <v>42</v>
      </c>
      <c r="E282" s="1">
        <v>42</v>
      </c>
      <c r="H282" s="15" t="s">
        <v>10</v>
      </c>
      <c r="I282" s="19"/>
    </row>
    <row r="283" spans="1:9">
      <c r="A283" s="8">
        <v>46018</v>
      </c>
      <c r="B283" s="1">
        <v>965</v>
      </c>
      <c r="C283" s="18" t="s">
        <v>28</v>
      </c>
      <c r="D283" s="1">
        <v>93</v>
      </c>
      <c r="E283" s="1">
        <v>93</v>
      </c>
      <c r="H283" s="15" t="s">
        <v>10</v>
      </c>
      <c r="I283" s="19"/>
    </row>
    <row r="284" spans="1:9">
      <c r="A284" s="8">
        <v>46018</v>
      </c>
      <c r="B284" s="1">
        <v>963</v>
      </c>
      <c r="C284" s="18" t="s">
        <v>18</v>
      </c>
      <c r="D284" s="1">
        <v>52</v>
      </c>
      <c r="E284" s="1">
        <v>52</v>
      </c>
      <c r="H284" s="15" t="s">
        <v>10</v>
      </c>
      <c r="I284" s="19"/>
    </row>
    <row r="285" spans="1:9">
      <c r="A285" s="8">
        <v>46018</v>
      </c>
      <c r="B285" s="1">
        <v>985</v>
      </c>
      <c r="C285" s="18" t="s">
        <v>26</v>
      </c>
      <c r="D285" s="1">
        <v>28</v>
      </c>
      <c r="E285" s="1">
        <v>28</v>
      </c>
      <c r="H285" s="15" t="s">
        <v>10</v>
      </c>
      <c r="I285" s="19"/>
    </row>
    <row r="286" spans="1:9">
      <c r="A286" s="8">
        <v>46018</v>
      </c>
      <c r="B286" s="1">
        <v>859</v>
      </c>
      <c r="C286" s="18" t="s">
        <v>62</v>
      </c>
      <c r="D286" s="1">
        <v>471</v>
      </c>
      <c r="E286" s="1">
        <v>471</v>
      </c>
      <c r="H286" s="15" t="s">
        <v>10</v>
      </c>
      <c r="I286" s="19"/>
    </row>
    <row r="287" spans="1:9">
      <c r="A287" s="8">
        <v>46018</v>
      </c>
      <c r="B287" s="1">
        <v>858</v>
      </c>
      <c r="C287" s="18" t="s">
        <v>56</v>
      </c>
      <c r="D287" s="1">
        <v>471</v>
      </c>
      <c r="E287" s="1">
        <v>471</v>
      </c>
      <c r="H287" s="15" t="s">
        <v>10</v>
      </c>
      <c r="I287" s="19"/>
    </row>
    <row r="288" spans="1:9">
      <c r="A288" s="8">
        <v>46018</v>
      </c>
      <c r="B288" s="1">
        <v>863</v>
      </c>
      <c r="C288" s="18" t="s">
        <v>61</v>
      </c>
      <c r="D288" s="1">
        <v>471</v>
      </c>
      <c r="E288" s="1">
        <v>471</v>
      </c>
      <c r="H288" s="15" t="s">
        <v>10</v>
      </c>
      <c r="I288" s="19"/>
    </row>
    <row r="289" spans="1:9">
      <c r="A289" s="8">
        <v>46019</v>
      </c>
      <c r="B289" s="1">
        <v>807</v>
      </c>
      <c r="C289" s="18" t="s">
        <v>52</v>
      </c>
      <c r="D289" s="1">
        <v>278</v>
      </c>
      <c r="E289" s="1">
        <v>278</v>
      </c>
      <c r="H289" s="15" t="s">
        <v>10</v>
      </c>
      <c r="I289" s="19">
        <f>SUM(E289:E307)</f>
        <v>4485</v>
      </c>
    </row>
    <row r="290" spans="1:9">
      <c r="A290" s="8">
        <v>46019</v>
      </c>
      <c r="B290" s="1">
        <v>9875</v>
      </c>
      <c r="C290" s="18" t="s">
        <v>43</v>
      </c>
      <c r="D290" s="1">
        <v>278</v>
      </c>
      <c r="E290" s="1">
        <v>278</v>
      </c>
      <c r="H290" s="15" t="s">
        <v>10</v>
      </c>
      <c r="I290" s="19"/>
    </row>
    <row r="291" spans="1:9">
      <c r="A291" s="8">
        <v>46019</v>
      </c>
      <c r="B291" s="1">
        <v>856</v>
      </c>
      <c r="C291" s="18" t="s">
        <v>54</v>
      </c>
      <c r="D291" s="1">
        <v>278</v>
      </c>
      <c r="E291" s="1">
        <v>278</v>
      </c>
      <c r="H291" s="15" t="s">
        <v>10</v>
      </c>
      <c r="I291" s="19"/>
    </row>
    <row r="292" spans="1:9">
      <c r="A292" s="8">
        <v>46019</v>
      </c>
      <c r="B292" s="1">
        <v>625</v>
      </c>
      <c r="C292" s="18" t="s">
        <v>12</v>
      </c>
      <c r="D292" s="1">
        <v>144</v>
      </c>
      <c r="E292" s="1">
        <v>144</v>
      </c>
      <c r="H292" s="15" t="s">
        <v>10</v>
      </c>
      <c r="I292" s="19"/>
    </row>
    <row r="293" spans="1:9">
      <c r="A293" s="8">
        <v>46019</v>
      </c>
      <c r="B293" s="1">
        <v>632</v>
      </c>
      <c r="C293" s="18" t="s">
        <v>29</v>
      </c>
      <c r="D293" s="1">
        <v>30</v>
      </c>
      <c r="E293" s="1">
        <v>30</v>
      </c>
      <c r="H293" s="15" t="s">
        <v>10</v>
      </c>
      <c r="I293" s="19"/>
    </row>
    <row r="294" spans="1:9">
      <c r="A294" s="8">
        <v>46019</v>
      </c>
      <c r="B294" s="1">
        <v>6639</v>
      </c>
      <c r="C294" s="18" t="s">
        <v>9</v>
      </c>
      <c r="D294" s="1">
        <v>160</v>
      </c>
      <c r="E294" s="1">
        <v>160</v>
      </c>
      <c r="H294" s="15" t="s">
        <v>10</v>
      </c>
      <c r="I294" s="19"/>
    </row>
    <row r="295" spans="1:9">
      <c r="A295" s="8">
        <v>46019</v>
      </c>
      <c r="B295" s="1">
        <v>909</v>
      </c>
      <c r="C295" s="18" t="s">
        <v>11</v>
      </c>
      <c r="D295" s="1">
        <v>140</v>
      </c>
      <c r="E295" s="1">
        <v>140</v>
      </c>
      <c r="H295" s="15" t="s">
        <v>10</v>
      </c>
      <c r="I295" s="19"/>
    </row>
    <row r="296" spans="1:9">
      <c r="A296" s="8">
        <v>46019</v>
      </c>
      <c r="B296" s="1">
        <v>632</v>
      </c>
      <c r="C296" s="18" t="s">
        <v>29</v>
      </c>
      <c r="D296" s="1">
        <v>44</v>
      </c>
      <c r="E296" s="1">
        <v>44</v>
      </c>
      <c r="H296" s="15" t="s">
        <v>10</v>
      </c>
      <c r="I296" s="19"/>
    </row>
    <row r="297" spans="1:9">
      <c r="A297" s="8">
        <v>46019</v>
      </c>
      <c r="B297" s="1">
        <v>625</v>
      </c>
      <c r="C297" s="18" t="s">
        <v>12</v>
      </c>
      <c r="D297" s="1">
        <v>40</v>
      </c>
      <c r="E297" s="1">
        <v>40</v>
      </c>
      <c r="H297" s="15" t="s">
        <v>10</v>
      </c>
      <c r="I297" s="19"/>
    </row>
    <row r="298" spans="1:9">
      <c r="A298" s="8">
        <v>46019</v>
      </c>
      <c r="B298" s="1">
        <v>8839</v>
      </c>
      <c r="C298" s="18" t="s">
        <v>20</v>
      </c>
      <c r="D298" s="1">
        <v>30</v>
      </c>
      <c r="E298" s="1">
        <v>30</v>
      </c>
      <c r="H298" s="15" t="s">
        <v>10</v>
      </c>
      <c r="I298" s="19"/>
    </row>
    <row r="299" spans="1:9">
      <c r="A299" s="8">
        <v>46019</v>
      </c>
      <c r="B299" s="1">
        <v>1861</v>
      </c>
      <c r="C299" s="18" t="s">
        <v>14</v>
      </c>
      <c r="D299" s="1">
        <v>165</v>
      </c>
      <c r="E299" s="1">
        <v>165</v>
      </c>
      <c r="H299" s="15" t="s">
        <v>10</v>
      </c>
      <c r="I299" s="19"/>
    </row>
    <row r="300" spans="1:9">
      <c r="A300" s="8">
        <v>46019</v>
      </c>
      <c r="B300" s="1">
        <v>809</v>
      </c>
      <c r="C300" s="18" t="s">
        <v>38</v>
      </c>
      <c r="D300" s="1">
        <v>300</v>
      </c>
      <c r="E300" s="1">
        <v>300</v>
      </c>
      <c r="H300" s="15" t="s">
        <v>10</v>
      </c>
      <c r="I300" s="19"/>
    </row>
    <row r="301" spans="1:9">
      <c r="A301" s="8">
        <v>46019</v>
      </c>
      <c r="B301" s="1">
        <v>835</v>
      </c>
      <c r="C301" s="18" t="s">
        <v>64</v>
      </c>
      <c r="D301" s="1">
        <v>300</v>
      </c>
      <c r="E301" s="1">
        <v>300</v>
      </c>
      <c r="H301" s="15" t="s">
        <v>10</v>
      </c>
      <c r="I301" s="19"/>
    </row>
    <row r="302" spans="1:9">
      <c r="A302" s="8">
        <v>46019</v>
      </c>
      <c r="B302" s="1">
        <v>837</v>
      </c>
      <c r="C302" s="18" t="s">
        <v>40</v>
      </c>
      <c r="D302" s="1">
        <v>300</v>
      </c>
      <c r="E302" s="1">
        <v>300</v>
      </c>
      <c r="H302" s="15" t="s">
        <v>10</v>
      </c>
      <c r="I302" s="19"/>
    </row>
    <row r="303" spans="1:9">
      <c r="A303" s="8">
        <v>46019</v>
      </c>
      <c r="B303" s="1">
        <v>810</v>
      </c>
      <c r="C303" s="18" t="s">
        <v>34</v>
      </c>
      <c r="D303" s="1">
        <v>414</v>
      </c>
      <c r="E303" s="1">
        <v>414</v>
      </c>
      <c r="H303" s="15" t="s">
        <v>10</v>
      </c>
      <c r="I303" s="19"/>
    </row>
    <row r="304" spans="1:9">
      <c r="A304" s="8">
        <v>46019</v>
      </c>
      <c r="B304" s="1">
        <v>9810</v>
      </c>
      <c r="C304" s="18" t="s">
        <v>35</v>
      </c>
      <c r="D304" s="1">
        <v>414</v>
      </c>
      <c r="E304" s="1">
        <v>414</v>
      </c>
      <c r="H304" s="15" t="s">
        <v>10</v>
      </c>
      <c r="I304" s="19"/>
    </row>
    <row r="305" spans="1:9">
      <c r="A305" s="8">
        <v>46019</v>
      </c>
      <c r="B305" s="1">
        <v>840</v>
      </c>
      <c r="C305" s="18" t="s">
        <v>47</v>
      </c>
      <c r="D305" s="1">
        <v>414</v>
      </c>
      <c r="E305" s="1">
        <v>414</v>
      </c>
      <c r="H305" s="15" t="s">
        <v>10</v>
      </c>
      <c r="I305" s="19"/>
    </row>
    <row r="306" spans="1:9">
      <c r="A306" s="8">
        <v>46019</v>
      </c>
      <c r="B306" s="1">
        <v>865</v>
      </c>
      <c r="C306" s="18" t="s">
        <v>65</v>
      </c>
      <c r="D306" s="1">
        <v>378</v>
      </c>
      <c r="E306" s="1">
        <v>378</v>
      </c>
      <c r="H306" s="15" t="s">
        <v>10</v>
      </c>
      <c r="I306" s="19"/>
    </row>
    <row r="307" spans="1:9">
      <c r="A307" s="8">
        <v>46019</v>
      </c>
      <c r="B307" s="1">
        <v>866</v>
      </c>
      <c r="C307" s="18" t="s">
        <v>66</v>
      </c>
      <c r="D307" s="1">
        <v>378</v>
      </c>
      <c r="E307" s="1">
        <v>378</v>
      </c>
      <c r="H307" s="15" t="s">
        <v>10</v>
      </c>
      <c r="I307" s="19"/>
    </row>
    <row r="308" spans="1:9">
      <c r="A308" s="8">
        <v>46020</v>
      </c>
      <c r="B308" s="1">
        <v>809</v>
      </c>
      <c r="C308" s="18" t="s">
        <v>38</v>
      </c>
      <c r="D308" s="1">
        <v>286</v>
      </c>
      <c r="E308" s="1">
        <v>286</v>
      </c>
      <c r="H308" s="15" t="s">
        <v>10</v>
      </c>
      <c r="I308" s="19">
        <f>SUM(E308:E315)</f>
        <v>2714</v>
      </c>
    </row>
    <row r="309" spans="1:9">
      <c r="A309" s="8">
        <v>46020</v>
      </c>
      <c r="B309" s="1">
        <v>835</v>
      </c>
      <c r="C309" s="18" t="s">
        <v>64</v>
      </c>
      <c r="D309" s="1">
        <v>286</v>
      </c>
      <c r="E309" s="1">
        <v>286</v>
      </c>
      <c r="H309" s="15" t="s">
        <v>10</v>
      </c>
      <c r="I309" s="19"/>
    </row>
    <row r="310" spans="1:9">
      <c r="A310" s="8">
        <v>46020</v>
      </c>
      <c r="B310" s="1">
        <v>837</v>
      </c>
      <c r="C310" s="18" t="s">
        <v>40</v>
      </c>
      <c r="D310" s="1">
        <v>286</v>
      </c>
      <c r="E310" s="1">
        <v>286</v>
      </c>
      <c r="H310" s="15" t="s">
        <v>10</v>
      </c>
      <c r="I310" s="19"/>
    </row>
    <row r="311" spans="1:9">
      <c r="A311" s="8">
        <v>46020</v>
      </c>
      <c r="B311" s="1">
        <v>609</v>
      </c>
      <c r="C311" s="18" t="s">
        <v>33</v>
      </c>
      <c r="D311" s="1">
        <v>426</v>
      </c>
      <c r="E311" s="1">
        <v>426</v>
      </c>
      <c r="H311" s="15" t="s">
        <v>10</v>
      </c>
      <c r="I311" s="19"/>
    </row>
    <row r="312" spans="1:9">
      <c r="A312" s="8">
        <v>46020</v>
      </c>
      <c r="B312" s="1">
        <v>880</v>
      </c>
      <c r="C312" s="18" t="s">
        <v>32</v>
      </c>
      <c r="D312" s="1">
        <v>426</v>
      </c>
      <c r="E312" s="1">
        <v>426</v>
      </c>
      <c r="H312" s="15" t="s">
        <v>10</v>
      </c>
      <c r="I312" s="19"/>
    </row>
    <row r="313" spans="1:9">
      <c r="A313" s="8">
        <v>46020</v>
      </c>
      <c r="B313" s="1">
        <v>896</v>
      </c>
      <c r="C313" s="18" t="s">
        <v>31</v>
      </c>
      <c r="D313" s="1">
        <v>426</v>
      </c>
      <c r="E313" s="1">
        <v>426</v>
      </c>
      <c r="H313" s="15" t="s">
        <v>10</v>
      </c>
      <c r="I313" s="19"/>
    </row>
    <row r="314" spans="1:9">
      <c r="A314" s="8">
        <v>46020</v>
      </c>
      <c r="B314" s="1">
        <v>827</v>
      </c>
      <c r="C314" s="18" t="s">
        <v>50</v>
      </c>
      <c r="D314" s="1">
        <v>384</v>
      </c>
      <c r="E314" s="1">
        <v>384</v>
      </c>
      <c r="H314" s="15" t="s">
        <v>10</v>
      </c>
      <c r="I314" s="19"/>
    </row>
    <row r="315" spans="1:9">
      <c r="A315" s="8">
        <v>46020</v>
      </c>
      <c r="B315" s="1">
        <v>828</v>
      </c>
      <c r="C315" s="18" t="s">
        <v>51</v>
      </c>
      <c r="D315" s="1">
        <v>194</v>
      </c>
      <c r="E315" s="1">
        <v>194</v>
      </c>
      <c r="H315" s="15" t="s">
        <v>10</v>
      </c>
      <c r="I315" s="19"/>
    </row>
    <row r="316" spans="1:9">
      <c r="A316" s="8">
        <v>46021</v>
      </c>
      <c r="B316" s="1">
        <v>807</v>
      </c>
      <c r="C316" s="18" t="s">
        <v>52</v>
      </c>
      <c r="D316" s="1">
        <v>420</v>
      </c>
      <c r="E316" s="1">
        <v>420</v>
      </c>
      <c r="H316" s="15" t="s">
        <v>10</v>
      </c>
      <c r="I316" s="19">
        <f>SUM(E316:E336)</f>
        <v>3714</v>
      </c>
    </row>
    <row r="317" spans="1:9">
      <c r="A317" s="8">
        <v>46021</v>
      </c>
      <c r="B317" s="1">
        <v>856</v>
      </c>
      <c r="C317" s="18" t="s">
        <v>54</v>
      </c>
      <c r="D317" s="1">
        <v>420</v>
      </c>
      <c r="E317" s="1">
        <v>420</v>
      </c>
      <c r="H317" s="15" t="s">
        <v>10</v>
      </c>
      <c r="I317" s="19"/>
    </row>
    <row r="318" spans="1:9">
      <c r="A318" s="8">
        <v>46021</v>
      </c>
      <c r="B318" s="1">
        <v>851</v>
      </c>
      <c r="C318" s="18" t="s">
        <v>45</v>
      </c>
      <c r="D318" s="1">
        <v>546</v>
      </c>
      <c r="E318" s="1">
        <v>546</v>
      </c>
      <c r="H318" s="15" t="s">
        <v>10</v>
      </c>
      <c r="I318" s="19"/>
    </row>
    <row r="319" spans="1:9">
      <c r="A319" s="8">
        <v>46021</v>
      </c>
      <c r="B319" s="1">
        <v>859</v>
      </c>
      <c r="C319" s="18" t="s">
        <v>62</v>
      </c>
      <c r="D319" s="1">
        <v>546</v>
      </c>
      <c r="E319" s="1">
        <v>546</v>
      </c>
      <c r="H319" s="15" t="s">
        <v>10</v>
      </c>
      <c r="I319" s="19"/>
    </row>
    <row r="320" spans="1:9">
      <c r="A320" s="8">
        <v>46021</v>
      </c>
      <c r="B320" s="1">
        <v>6639</v>
      </c>
      <c r="C320" s="18" t="s">
        <v>9</v>
      </c>
      <c r="D320" s="1">
        <v>64</v>
      </c>
      <c r="E320" s="1">
        <v>64</v>
      </c>
      <c r="H320" s="15" t="s">
        <v>10</v>
      </c>
      <c r="I320" s="19"/>
    </row>
    <row r="321" spans="1:9">
      <c r="A321" s="8">
        <v>46021</v>
      </c>
      <c r="B321" s="1">
        <v>909</v>
      </c>
      <c r="C321" s="18" t="s">
        <v>11</v>
      </c>
      <c r="D321" s="1">
        <v>92</v>
      </c>
      <c r="E321" s="1">
        <v>92</v>
      </c>
      <c r="H321" s="15" t="s">
        <v>10</v>
      </c>
      <c r="I321" s="19"/>
    </row>
    <row r="322" spans="1:9">
      <c r="A322" s="8">
        <v>46021</v>
      </c>
      <c r="B322" s="1">
        <v>625</v>
      </c>
      <c r="C322" s="18" t="s">
        <v>12</v>
      </c>
      <c r="D322" s="1">
        <v>70</v>
      </c>
      <c r="E322" s="1">
        <v>70</v>
      </c>
      <c r="H322" s="15" t="s">
        <v>10</v>
      </c>
      <c r="I322" s="19"/>
    </row>
    <row r="323" spans="1:9">
      <c r="A323" s="8">
        <v>46021</v>
      </c>
      <c r="B323" s="1">
        <v>632</v>
      </c>
      <c r="C323" s="18" t="s">
        <v>29</v>
      </c>
      <c r="D323" s="1">
        <v>80</v>
      </c>
      <c r="E323" s="1">
        <v>80</v>
      </c>
      <c r="H323" s="15" t="s">
        <v>10</v>
      </c>
      <c r="I323" s="19"/>
    </row>
    <row r="324" spans="1:9">
      <c r="A324" s="8">
        <v>46021</v>
      </c>
      <c r="B324" s="1">
        <v>1861</v>
      </c>
      <c r="C324" s="18" t="s">
        <v>14</v>
      </c>
      <c r="D324" s="1">
        <v>138</v>
      </c>
      <c r="E324" s="1">
        <v>138</v>
      </c>
      <c r="H324" s="15" t="s">
        <v>10</v>
      </c>
      <c r="I324" s="19"/>
    </row>
    <row r="325" spans="1:9">
      <c r="A325" s="8">
        <v>46021</v>
      </c>
      <c r="B325" s="1">
        <v>981</v>
      </c>
      <c r="C325" s="18" t="s">
        <v>13</v>
      </c>
      <c r="D325" s="1">
        <v>50</v>
      </c>
      <c r="E325" s="1">
        <v>50</v>
      </c>
      <c r="H325" s="15" t="s">
        <v>10</v>
      </c>
      <c r="I325" s="19"/>
    </row>
    <row r="326" spans="1:9">
      <c r="A326" s="8">
        <v>46021</v>
      </c>
      <c r="B326" s="1">
        <v>962</v>
      </c>
      <c r="C326" s="18" t="s">
        <v>19</v>
      </c>
      <c r="D326" s="1">
        <v>81</v>
      </c>
      <c r="E326" s="1">
        <v>81</v>
      </c>
      <c r="H326" s="15" t="s">
        <v>10</v>
      </c>
      <c r="I326" s="19"/>
    </row>
    <row r="327" spans="1:9">
      <c r="A327" s="8">
        <v>46021</v>
      </c>
      <c r="B327" s="1">
        <v>987</v>
      </c>
      <c r="C327" s="18" t="s">
        <v>16</v>
      </c>
      <c r="D327" s="1">
        <v>40</v>
      </c>
      <c r="E327" s="1">
        <v>40</v>
      </c>
      <c r="H327" s="15" t="s">
        <v>10</v>
      </c>
      <c r="I327" s="19"/>
    </row>
    <row r="328" spans="1:9">
      <c r="A328" s="8">
        <v>46021</v>
      </c>
      <c r="B328" s="1">
        <v>978</v>
      </c>
      <c r="C328" s="18" t="s">
        <v>25</v>
      </c>
      <c r="D328" s="1">
        <v>32</v>
      </c>
      <c r="E328" s="1">
        <v>32</v>
      </c>
      <c r="H328" s="15" t="s">
        <v>10</v>
      </c>
      <c r="I328" s="19"/>
    </row>
    <row r="329" spans="1:9">
      <c r="A329" s="8">
        <v>46021</v>
      </c>
      <c r="B329" s="1">
        <v>988</v>
      </c>
      <c r="C329" s="18" t="s">
        <v>17</v>
      </c>
      <c r="D329" s="1">
        <v>26</v>
      </c>
      <c r="E329" s="1">
        <v>26</v>
      </c>
      <c r="H329" s="15" t="s">
        <v>10</v>
      </c>
      <c r="I329" s="19"/>
    </row>
    <row r="330" spans="1:9">
      <c r="A330" s="8">
        <v>46021</v>
      </c>
      <c r="B330" s="1">
        <v>991</v>
      </c>
      <c r="C330" s="18" t="s">
        <v>27</v>
      </c>
      <c r="D330" s="1">
        <v>54</v>
      </c>
      <c r="E330" s="1">
        <v>54</v>
      </c>
      <c r="H330" s="15" t="s">
        <v>10</v>
      </c>
      <c r="I330" s="19"/>
    </row>
    <row r="331" spans="1:9">
      <c r="A331" s="8">
        <v>46021</v>
      </c>
      <c r="B331" s="1">
        <v>992</v>
      </c>
      <c r="C331" s="18" t="s">
        <v>15</v>
      </c>
      <c r="D331" s="1">
        <v>10</v>
      </c>
      <c r="E331" s="1">
        <v>10</v>
      </c>
      <c r="H331" s="15" t="s">
        <v>10</v>
      </c>
      <c r="I331" s="19"/>
    </row>
    <row r="332" spans="1:9">
      <c r="A332" s="8">
        <v>46021</v>
      </c>
      <c r="B332" s="1">
        <v>963</v>
      </c>
      <c r="C332" s="18" t="s">
        <v>18</v>
      </c>
      <c r="D332" s="1">
        <v>64</v>
      </c>
      <c r="E332" s="1">
        <v>64</v>
      </c>
      <c r="H332" s="15" t="s">
        <v>10</v>
      </c>
      <c r="I332" s="19"/>
    </row>
    <row r="333" spans="1:9">
      <c r="A333" s="8">
        <v>46021</v>
      </c>
      <c r="B333" s="1">
        <v>965</v>
      </c>
      <c r="C333" s="18" t="s">
        <v>28</v>
      </c>
      <c r="D333" s="1">
        <v>117</v>
      </c>
      <c r="E333" s="1">
        <v>117</v>
      </c>
      <c r="H333" s="15" t="s">
        <v>10</v>
      </c>
      <c r="I333" s="19"/>
    </row>
    <row r="334" spans="1:9">
      <c r="A334" s="8">
        <v>46021</v>
      </c>
      <c r="B334" s="1">
        <v>809</v>
      </c>
      <c r="C334" s="18" t="s">
        <v>38</v>
      </c>
      <c r="D334" s="1">
        <v>288</v>
      </c>
      <c r="E334" s="1">
        <v>288</v>
      </c>
      <c r="H334" s="15" t="s">
        <v>10</v>
      </c>
      <c r="I334" s="19"/>
    </row>
    <row r="335" spans="1:9">
      <c r="A335" s="8">
        <v>46021</v>
      </c>
      <c r="B335" s="1">
        <v>835</v>
      </c>
      <c r="C335" s="18" t="s">
        <v>64</v>
      </c>
      <c r="D335" s="1">
        <v>288</v>
      </c>
      <c r="E335" s="1">
        <v>288</v>
      </c>
      <c r="H335" s="15" t="s">
        <v>10</v>
      </c>
      <c r="I335" s="19"/>
    </row>
    <row r="336" spans="1:9">
      <c r="A336" s="8">
        <v>46021</v>
      </c>
      <c r="B336" s="1">
        <v>885</v>
      </c>
      <c r="C336" s="18" t="s">
        <v>48</v>
      </c>
      <c r="D336" s="1">
        <v>288</v>
      </c>
      <c r="E336" s="1">
        <v>288</v>
      </c>
      <c r="H336" s="15" t="s">
        <v>10</v>
      </c>
      <c r="I336" s="19"/>
    </row>
    <row r="337" spans="10:13">
      <c r="J337" t="s">
        <v>67</v>
      </c>
      <c r="K337">
        <v>55958</v>
      </c>
      <c r="M337">
        <f>K337*0.1</f>
        <v>5595.8</v>
      </c>
    </row>
    <row r="338" spans="10:13">
      <c r="J338" t="s">
        <v>68</v>
      </c>
      <c r="K338">
        <v>20368</v>
      </c>
    </row>
    <row r="339" spans="10:13">
      <c r="J339" t="s">
        <v>69</v>
      </c>
      <c r="K339">
        <v>980</v>
      </c>
      <c r="L339">
        <f>SUM(K338:K339)</f>
        <v>21348</v>
      </c>
      <c r="M339">
        <f>L339*0.05</f>
        <v>1067.4</v>
      </c>
    </row>
    <row r="340" spans="10:13">
      <c r="J340" t="s">
        <v>70</v>
      </c>
      <c r="K340">
        <f>SUM(K337:K339)</f>
        <v>77306</v>
      </c>
      <c r="M340">
        <f>SUM(M337:M339)</f>
        <v>6663.2</v>
      </c>
    </row>
  </sheetData>
  <mergeCells count="25">
    <mergeCell ref="I2:I12"/>
    <mergeCell ref="I13:I32"/>
    <mergeCell ref="I33:I42"/>
    <mergeCell ref="I43:I51"/>
    <mergeCell ref="I52:I56"/>
    <mergeCell ref="I57:I65"/>
    <mergeCell ref="I66:I76"/>
    <mergeCell ref="I77:I84"/>
    <mergeCell ref="I85:I88"/>
    <mergeCell ref="I89:I102"/>
    <mergeCell ref="I103:I119"/>
    <mergeCell ref="I120:I129"/>
    <mergeCell ref="I130:I145"/>
    <mergeCell ref="I146:I154"/>
    <mergeCell ref="I155:I173"/>
    <mergeCell ref="I174:I188"/>
    <mergeCell ref="I189:I202"/>
    <mergeCell ref="I203:I216"/>
    <mergeCell ref="I217:I227"/>
    <mergeCell ref="I228:I251"/>
    <mergeCell ref="I252:I270"/>
    <mergeCell ref="I271:I288"/>
    <mergeCell ref="I289:I307"/>
    <mergeCell ref="I308:I315"/>
    <mergeCell ref="I316:I3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5"/>
  <sheetViews>
    <sheetView zoomScale="93" zoomScaleNormal="93" topLeftCell="A264" workbookViewId="0">
      <selection activeCell="M35" sqref="M35"/>
    </sheetView>
  </sheetViews>
  <sheetFormatPr defaultColWidth="10" defaultRowHeight="13.5"/>
  <cols>
    <col min="1" max="1" width="8.94166666666667" style="1" customWidth="1"/>
    <col min="2" max="2" width="5.175" style="1" customWidth="1"/>
    <col min="3" max="3" width="6" style="2" customWidth="1"/>
    <col min="4" max="7" width="9" style="1" customWidth="1"/>
    <col min="8" max="8" width="5" style="1" customWidth="1"/>
    <col min="9" max="9" width="5.175" style="1" customWidth="1"/>
    <col min="10" max="10" width="6.11666666666667" customWidth="1"/>
    <col min="11" max="11" width="7.94166666666667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3"/>
      <c r="K1" s="29"/>
      <c r="L1" s="27"/>
      <c r="M1" s="27"/>
      <c r="N1" s="27"/>
      <c r="O1" s="27"/>
      <c r="P1" s="27"/>
    </row>
    <row r="2" spans="1:16">
      <c r="A2" s="8">
        <v>45962</v>
      </c>
      <c r="B2" s="10">
        <v>909</v>
      </c>
      <c r="C2" s="10" t="s">
        <v>11</v>
      </c>
      <c r="D2" s="9">
        <v>498</v>
      </c>
      <c r="E2" s="9">
        <v>498</v>
      </c>
      <c r="F2" s="9"/>
      <c r="G2" s="9"/>
      <c r="H2" s="9" t="s">
        <v>10</v>
      </c>
      <c r="I2" s="9">
        <f>SUM(E2:E10)</f>
        <v>2776</v>
      </c>
      <c r="J2" s="9"/>
      <c r="K2" s="11"/>
    </row>
    <row r="3" spans="1:16">
      <c r="A3" s="8">
        <v>45962</v>
      </c>
      <c r="B3" s="12">
        <v>908</v>
      </c>
      <c r="C3" s="13" t="s">
        <v>23</v>
      </c>
      <c r="D3" s="12">
        <v>126</v>
      </c>
      <c r="E3" s="12">
        <v>126</v>
      </c>
      <c r="F3" s="12"/>
      <c r="G3" s="12"/>
      <c r="H3" s="12" t="s">
        <v>10</v>
      </c>
      <c r="I3" s="12"/>
      <c r="J3" s="12"/>
      <c r="K3" s="14"/>
    </row>
    <row r="4" spans="1:16">
      <c r="A4" s="8">
        <v>45962</v>
      </c>
      <c r="B4" s="12">
        <v>625</v>
      </c>
      <c r="C4" s="13" t="s">
        <v>12</v>
      </c>
      <c r="D4" s="12">
        <v>462</v>
      </c>
      <c r="E4" s="12">
        <v>462</v>
      </c>
      <c r="F4" s="12"/>
      <c r="G4" s="12"/>
      <c r="H4" s="12" t="s">
        <v>10</v>
      </c>
      <c r="I4" s="12"/>
      <c r="J4" s="12"/>
      <c r="K4" s="14"/>
    </row>
    <row r="5" spans="1:16">
      <c r="A5" s="8">
        <v>45962</v>
      </c>
      <c r="B5" s="12">
        <v>6639</v>
      </c>
      <c r="C5" s="13" t="s">
        <v>9</v>
      </c>
      <c r="D5" s="12">
        <v>546</v>
      </c>
      <c r="E5" s="12">
        <v>546</v>
      </c>
      <c r="F5" s="12"/>
      <c r="G5" s="12"/>
      <c r="H5" s="12" t="s">
        <v>10</v>
      </c>
      <c r="I5" s="12"/>
      <c r="J5" s="12"/>
      <c r="K5" s="14"/>
    </row>
    <row r="6" spans="1:16">
      <c r="A6" s="8">
        <v>45962</v>
      </c>
      <c r="B6" s="12">
        <v>992</v>
      </c>
      <c r="C6" s="13" t="s">
        <v>15</v>
      </c>
      <c r="D6" s="12">
        <v>560</v>
      </c>
      <c r="E6" s="12">
        <v>560</v>
      </c>
      <c r="F6" s="12"/>
      <c r="G6" s="12"/>
      <c r="H6" s="12" t="s">
        <v>10</v>
      </c>
      <c r="I6" s="12"/>
      <c r="J6" s="12"/>
      <c r="K6" s="14"/>
    </row>
    <row r="7" spans="1:16">
      <c r="A7" s="8">
        <v>45962</v>
      </c>
      <c r="B7" s="12">
        <v>991</v>
      </c>
      <c r="C7" s="13" t="s">
        <v>27</v>
      </c>
      <c r="D7" s="12">
        <v>184</v>
      </c>
      <c r="E7" s="12">
        <v>184</v>
      </c>
      <c r="F7" s="12"/>
      <c r="G7" s="12"/>
      <c r="H7" s="12" t="s">
        <v>10</v>
      </c>
      <c r="I7" s="12"/>
      <c r="J7" s="12"/>
      <c r="K7" s="14"/>
    </row>
    <row r="8" spans="1:16">
      <c r="A8" s="8">
        <v>45962</v>
      </c>
      <c r="B8" s="12">
        <v>962</v>
      </c>
      <c r="C8" s="13" t="s">
        <v>19</v>
      </c>
      <c r="D8" s="12">
        <v>196</v>
      </c>
      <c r="E8" s="12">
        <v>196</v>
      </c>
      <c r="F8" s="12"/>
      <c r="G8" s="12"/>
      <c r="H8" s="12" t="s">
        <v>10</v>
      </c>
      <c r="I8" s="12"/>
      <c r="J8" s="12"/>
      <c r="K8" s="14"/>
    </row>
    <row r="9" spans="1:16">
      <c r="A9" s="8">
        <v>45962</v>
      </c>
      <c r="B9" s="12">
        <v>963</v>
      </c>
      <c r="C9" s="13" t="s">
        <v>18</v>
      </c>
      <c r="D9" s="12">
        <v>112</v>
      </c>
      <c r="E9" s="12">
        <v>112</v>
      </c>
      <c r="F9" s="12"/>
      <c r="G9" s="12"/>
      <c r="H9" s="12" t="s">
        <v>10</v>
      </c>
      <c r="I9" s="12"/>
      <c r="J9" s="12"/>
      <c r="K9" s="14"/>
    </row>
    <row r="10" spans="1:16">
      <c r="A10" s="8">
        <v>45962</v>
      </c>
      <c r="B10" s="12">
        <v>985</v>
      </c>
      <c r="C10" s="13" t="s">
        <v>26</v>
      </c>
      <c r="D10" s="12">
        <v>92</v>
      </c>
      <c r="E10" s="12">
        <v>92</v>
      </c>
      <c r="F10" s="12"/>
      <c r="G10" s="12"/>
      <c r="H10" s="12" t="s">
        <v>10</v>
      </c>
      <c r="I10" s="12"/>
      <c r="J10" s="12"/>
      <c r="K10" s="14"/>
    </row>
    <row r="11" spans="1:16">
      <c r="A11" s="8">
        <v>45963</v>
      </c>
      <c r="B11" s="12">
        <v>991</v>
      </c>
      <c r="C11" s="13" t="s">
        <v>27</v>
      </c>
      <c r="D11" s="12">
        <v>510</v>
      </c>
      <c r="E11" s="12">
        <v>510</v>
      </c>
      <c r="F11" s="12"/>
      <c r="G11" s="12"/>
      <c r="H11" s="12" t="s">
        <v>10</v>
      </c>
      <c r="I11" s="12">
        <f>SUM(E11:E18)</f>
        <v>3148</v>
      </c>
      <c r="J11" s="12"/>
      <c r="K11" s="14"/>
    </row>
    <row r="12" spans="1:16">
      <c r="A12" s="8">
        <v>45963</v>
      </c>
      <c r="B12" s="12">
        <v>963</v>
      </c>
      <c r="C12" s="13" t="s">
        <v>18</v>
      </c>
      <c r="D12" s="12">
        <v>378</v>
      </c>
      <c r="E12" s="12">
        <v>378</v>
      </c>
      <c r="F12" s="12"/>
      <c r="G12" s="12"/>
      <c r="H12" s="12" t="s">
        <v>10</v>
      </c>
      <c r="I12" s="12"/>
      <c r="J12" s="12"/>
      <c r="K12" s="14"/>
    </row>
    <row r="13" spans="1:16">
      <c r="A13" s="8">
        <v>45963</v>
      </c>
      <c r="B13" s="12">
        <v>988</v>
      </c>
      <c r="C13" s="13" t="s">
        <v>17</v>
      </c>
      <c r="D13" s="12">
        <v>304</v>
      </c>
      <c r="E13" s="12">
        <v>304</v>
      </c>
      <c r="F13" s="12"/>
      <c r="G13" s="12"/>
      <c r="H13" s="12" t="s">
        <v>10</v>
      </c>
      <c r="I13" s="12"/>
      <c r="J13" s="12"/>
      <c r="K13" s="14"/>
    </row>
    <row r="14" spans="1:16">
      <c r="A14" s="8">
        <v>45963</v>
      </c>
      <c r="B14" s="12">
        <v>987</v>
      </c>
      <c r="C14" s="13" t="s">
        <v>16</v>
      </c>
      <c r="D14" s="12">
        <v>504</v>
      </c>
      <c r="E14" s="12">
        <v>504</v>
      </c>
      <c r="F14" s="12"/>
      <c r="G14" s="12"/>
      <c r="H14" s="12" t="s">
        <v>10</v>
      </c>
      <c r="I14" s="12"/>
      <c r="J14" s="12"/>
      <c r="K14" s="14"/>
    </row>
    <row r="15" spans="1:16">
      <c r="A15" s="8">
        <v>45963</v>
      </c>
      <c r="B15" s="12">
        <v>909</v>
      </c>
      <c r="C15" s="13" t="s">
        <v>11</v>
      </c>
      <c r="D15" s="12">
        <v>522</v>
      </c>
      <c r="E15" s="12">
        <v>522</v>
      </c>
      <c r="F15" s="12"/>
      <c r="G15" s="12"/>
      <c r="H15" s="12" t="s">
        <v>10</v>
      </c>
      <c r="I15" s="12"/>
      <c r="J15" s="12"/>
      <c r="K15" s="14"/>
    </row>
    <row r="16" spans="1:16">
      <c r="A16" s="8">
        <v>45963</v>
      </c>
      <c r="B16" s="12">
        <v>659</v>
      </c>
      <c r="C16" s="13" t="s">
        <v>21</v>
      </c>
      <c r="D16" s="12">
        <v>210</v>
      </c>
      <c r="E16" s="12">
        <v>210</v>
      </c>
      <c r="F16" s="12"/>
      <c r="G16" s="12"/>
      <c r="H16" s="12" t="s">
        <v>10</v>
      </c>
      <c r="I16" s="12"/>
      <c r="J16" s="12"/>
      <c r="K16" s="14"/>
    </row>
    <row r="17" spans="1:11">
      <c r="A17" s="8">
        <v>45963</v>
      </c>
      <c r="B17" s="12">
        <v>625</v>
      </c>
      <c r="C17" s="13" t="s">
        <v>12</v>
      </c>
      <c r="D17" s="12">
        <v>316</v>
      </c>
      <c r="E17" s="12">
        <v>316</v>
      </c>
      <c r="F17" s="12"/>
      <c r="G17" s="12"/>
      <c r="H17" s="12" t="s">
        <v>10</v>
      </c>
      <c r="I17" s="12"/>
      <c r="J17" s="12"/>
      <c r="K17" s="14"/>
    </row>
    <row r="18" spans="1:11">
      <c r="A18" s="8">
        <v>45963</v>
      </c>
      <c r="B18" s="12">
        <v>8839</v>
      </c>
      <c r="C18" s="13" t="s">
        <v>20</v>
      </c>
      <c r="D18" s="12">
        <v>404</v>
      </c>
      <c r="E18" s="12">
        <v>404</v>
      </c>
      <c r="F18" s="12"/>
      <c r="G18" s="12"/>
      <c r="H18" s="12" t="s">
        <v>10</v>
      </c>
      <c r="I18" s="12"/>
      <c r="J18" s="12"/>
      <c r="K18" s="14"/>
    </row>
    <row r="19" spans="1:11">
      <c r="A19" s="8">
        <v>45964</v>
      </c>
      <c r="B19" s="12">
        <v>625</v>
      </c>
      <c r="C19" s="13" t="s">
        <v>12</v>
      </c>
      <c r="D19" s="12">
        <v>510</v>
      </c>
      <c r="E19" s="12">
        <v>510</v>
      </c>
      <c r="F19" s="12"/>
      <c r="G19" s="12"/>
      <c r="H19" s="12" t="s">
        <v>10</v>
      </c>
      <c r="I19" s="12">
        <f>SUM(E19:E23)</f>
        <v>2232</v>
      </c>
      <c r="J19" s="12"/>
      <c r="K19" s="14"/>
    </row>
    <row r="20" spans="1:11">
      <c r="A20" s="8">
        <v>45964</v>
      </c>
      <c r="B20" s="12">
        <v>632</v>
      </c>
      <c r="C20" s="13" t="s">
        <v>29</v>
      </c>
      <c r="D20" s="12">
        <v>480</v>
      </c>
      <c r="E20" s="12">
        <v>480</v>
      </c>
      <c r="F20" s="12"/>
      <c r="G20" s="12"/>
      <c r="H20" s="12" t="s">
        <v>10</v>
      </c>
      <c r="I20" s="12"/>
      <c r="J20" s="12"/>
      <c r="K20" s="14"/>
    </row>
    <row r="21" spans="1:11">
      <c r="A21" s="8">
        <v>45964</v>
      </c>
      <c r="B21" s="12">
        <v>627</v>
      </c>
      <c r="C21" s="13" t="s">
        <v>71</v>
      </c>
      <c r="D21" s="12">
        <v>268</v>
      </c>
      <c r="E21" s="12">
        <v>268</v>
      </c>
      <c r="F21" s="12"/>
      <c r="G21" s="12"/>
      <c r="H21" s="12" t="s">
        <v>10</v>
      </c>
      <c r="I21" s="12"/>
      <c r="J21" s="12"/>
      <c r="K21" s="14"/>
    </row>
    <row r="22" spans="1:11">
      <c r="A22" s="8">
        <v>45964</v>
      </c>
      <c r="B22" s="12">
        <v>661</v>
      </c>
      <c r="C22" s="13" t="s">
        <v>30</v>
      </c>
      <c r="D22" s="12">
        <v>440</v>
      </c>
      <c r="E22" s="12">
        <v>440</v>
      </c>
      <c r="F22" s="12"/>
      <c r="G22" s="12"/>
      <c r="H22" s="12" t="s">
        <v>10</v>
      </c>
      <c r="I22" s="12"/>
      <c r="J22" s="12"/>
      <c r="K22" s="14"/>
    </row>
    <row r="23" spans="1:11">
      <c r="A23" s="8">
        <v>45964</v>
      </c>
      <c r="B23" s="12">
        <v>1861</v>
      </c>
      <c r="C23" s="13" t="s">
        <v>14</v>
      </c>
      <c r="D23" s="12">
        <v>534</v>
      </c>
      <c r="E23" s="12">
        <v>534</v>
      </c>
      <c r="F23" s="12"/>
      <c r="G23" s="12"/>
      <c r="H23" s="12" t="s">
        <v>10</v>
      </c>
      <c r="I23" s="12"/>
      <c r="J23" s="12"/>
      <c r="K23" s="14"/>
    </row>
    <row r="24" spans="1:11">
      <c r="A24" s="8">
        <v>45965</v>
      </c>
      <c r="B24" s="12">
        <v>991</v>
      </c>
      <c r="C24" s="13" t="s">
        <v>27</v>
      </c>
      <c r="D24" s="12">
        <v>260</v>
      </c>
      <c r="E24" s="12">
        <v>260</v>
      </c>
      <c r="F24" s="12"/>
      <c r="G24" s="12"/>
      <c r="H24" s="12" t="s">
        <v>10</v>
      </c>
      <c r="I24" s="12">
        <f>SUM(E24:E37)</f>
        <v>4275</v>
      </c>
      <c r="J24" s="12"/>
      <c r="K24" s="14"/>
    </row>
    <row r="25" spans="1:11">
      <c r="A25" s="8">
        <v>45965</v>
      </c>
      <c r="B25" s="12">
        <v>992</v>
      </c>
      <c r="C25" s="13" t="s">
        <v>15</v>
      </c>
      <c r="D25" s="12">
        <v>260</v>
      </c>
      <c r="E25" s="12">
        <v>260</v>
      </c>
      <c r="F25" s="12"/>
      <c r="G25" s="12"/>
      <c r="H25" s="12" t="s">
        <v>10</v>
      </c>
      <c r="I25" s="12"/>
      <c r="J25" s="12"/>
      <c r="K25" s="14"/>
    </row>
    <row r="26" spans="1:11">
      <c r="A26" s="8">
        <v>45965</v>
      </c>
      <c r="B26" s="12">
        <v>962</v>
      </c>
      <c r="C26" s="13" t="s">
        <v>19</v>
      </c>
      <c r="D26" s="12">
        <v>252</v>
      </c>
      <c r="E26" s="12">
        <v>252</v>
      </c>
      <c r="F26" s="12"/>
      <c r="G26" s="12"/>
      <c r="H26" s="12" t="s">
        <v>10</v>
      </c>
      <c r="I26" s="12"/>
      <c r="J26" s="12"/>
      <c r="K26" s="14"/>
    </row>
    <row r="27" spans="1:11">
      <c r="A27" s="8">
        <v>45965</v>
      </c>
      <c r="B27" s="12">
        <v>967</v>
      </c>
      <c r="C27" s="13" t="s">
        <v>72</v>
      </c>
      <c r="D27" s="12">
        <v>104</v>
      </c>
      <c r="E27" s="12">
        <v>104</v>
      </c>
      <c r="F27" s="12"/>
      <c r="G27" s="12"/>
      <c r="H27" s="12" t="s">
        <v>10</v>
      </c>
      <c r="I27" s="12"/>
      <c r="J27" s="12"/>
      <c r="K27" s="14"/>
    </row>
    <row r="28" spans="1:11">
      <c r="A28" s="8">
        <v>45965</v>
      </c>
      <c r="B28" s="12">
        <v>965</v>
      </c>
      <c r="C28" s="13" t="s">
        <v>28</v>
      </c>
      <c r="D28" s="12">
        <v>216</v>
      </c>
      <c r="E28" s="12">
        <v>216</v>
      </c>
      <c r="F28" s="12"/>
      <c r="G28" s="12"/>
      <c r="H28" s="12" t="s">
        <v>10</v>
      </c>
      <c r="I28" s="12"/>
      <c r="J28" s="12"/>
      <c r="K28" s="14"/>
    </row>
    <row r="29" spans="1:11">
      <c r="A29" s="8">
        <v>45965</v>
      </c>
      <c r="B29" s="12">
        <v>987</v>
      </c>
      <c r="C29" s="13" t="s">
        <v>16</v>
      </c>
      <c r="D29" s="12">
        <v>242</v>
      </c>
      <c r="E29" s="12">
        <v>242</v>
      </c>
      <c r="F29" s="12"/>
      <c r="G29" s="12"/>
      <c r="H29" s="12" t="s">
        <v>10</v>
      </c>
      <c r="I29" s="12"/>
      <c r="J29" s="12"/>
      <c r="K29" s="14"/>
    </row>
    <row r="30" spans="1:11">
      <c r="A30" s="8">
        <v>45965</v>
      </c>
      <c r="B30" s="12">
        <v>988</v>
      </c>
      <c r="C30" s="13" t="s">
        <v>17</v>
      </c>
      <c r="D30" s="12">
        <v>128</v>
      </c>
      <c r="E30" s="12">
        <v>128</v>
      </c>
      <c r="F30" s="12"/>
      <c r="G30" s="12"/>
      <c r="H30" s="12" t="s">
        <v>10</v>
      </c>
      <c r="I30" s="12"/>
      <c r="J30" s="12"/>
      <c r="K30" s="14"/>
    </row>
    <row r="31" spans="1:11">
      <c r="A31" s="8">
        <v>45965</v>
      </c>
      <c r="B31" s="12">
        <v>963</v>
      </c>
      <c r="C31" s="13" t="s">
        <v>18</v>
      </c>
      <c r="D31" s="12">
        <v>208</v>
      </c>
      <c r="E31" s="12">
        <v>208</v>
      </c>
      <c r="F31" s="12"/>
      <c r="G31" s="12"/>
      <c r="H31" s="12" t="s">
        <v>10</v>
      </c>
      <c r="I31" s="12"/>
      <c r="J31" s="12"/>
      <c r="K31" s="14"/>
    </row>
    <row r="32" spans="1:11">
      <c r="A32" s="8">
        <v>45965</v>
      </c>
      <c r="B32" s="12">
        <v>625</v>
      </c>
      <c r="C32" s="13" t="s">
        <v>12</v>
      </c>
      <c r="D32" s="12">
        <v>666</v>
      </c>
      <c r="E32" s="12">
        <v>666</v>
      </c>
      <c r="F32" s="12"/>
      <c r="G32" s="12"/>
      <c r="H32" s="12" t="s">
        <v>10</v>
      </c>
      <c r="I32" s="12"/>
      <c r="J32" s="12"/>
      <c r="K32" s="14"/>
    </row>
    <row r="33" spans="1:11">
      <c r="A33" s="8">
        <v>45965</v>
      </c>
      <c r="B33" s="12">
        <v>909</v>
      </c>
      <c r="C33" s="13" t="s">
        <v>11</v>
      </c>
      <c r="D33" s="12">
        <v>366</v>
      </c>
      <c r="E33" s="12">
        <v>366</v>
      </c>
      <c r="F33" s="12"/>
      <c r="G33" s="12"/>
      <c r="H33" s="12" t="s">
        <v>10</v>
      </c>
      <c r="I33" s="12"/>
      <c r="J33" s="12"/>
      <c r="K33" s="14"/>
    </row>
    <row r="34" spans="1:11">
      <c r="A34" s="8">
        <v>45965</v>
      </c>
      <c r="B34" s="12">
        <v>981</v>
      </c>
      <c r="C34" s="13" t="s">
        <v>13</v>
      </c>
      <c r="D34" s="12">
        <v>235</v>
      </c>
      <c r="E34" s="12">
        <v>235</v>
      </c>
      <c r="F34" s="12"/>
      <c r="G34" s="12"/>
      <c r="H34" s="12" t="s">
        <v>10</v>
      </c>
      <c r="I34" s="12"/>
      <c r="J34" s="12"/>
      <c r="K34" s="14"/>
    </row>
    <row r="35" spans="1:11">
      <c r="A35" s="8">
        <v>45965</v>
      </c>
      <c r="B35" s="12">
        <v>6639</v>
      </c>
      <c r="C35" s="13" t="s">
        <v>9</v>
      </c>
      <c r="D35" s="12">
        <v>606</v>
      </c>
      <c r="E35" s="12">
        <v>606</v>
      </c>
      <c r="F35" s="12"/>
      <c r="G35" s="12"/>
      <c r="H35" s="12" t="s">
        <v>10</v>
      </c>
      <c r="I35" s="12"/>
      <c r="J35" s="12"/>
      <c r="K35" s="14"/>
    </row>
    <row r="36" spans="1:11">
      <c r="A36" s="8">
        <v>45965</v>
      </c>
      <c r="B36" s="12">
        <v>661</v>
      </c>
      <c r="C36" s="13" t="s">
        <v>30</v>
      </c>
      <c r="D36" s="12">
        <v>464</v>
      </c>
      <c r="E36" s="12">
        <v>464</v>
      </c>
      <c r="F36" s="12"/>
      <c r="G36" s="12"/>
      <c r="H36" s="12" t="s">
        <v>10</v>
      </c>
      <c r="I36" s="12"/>
      <c r="J36" s="12"/>
      <c r="K36" s="14"/>
    </row>
    <row r="37" spans="1:11">
      <c r="A37" s="8">
        <v>45965</v>
      </c>
      <c r="B37" s="12">
        <v>8839</v>
      </c>
      <c r="C37" s="13" t="s">
        <v>20</v>
      </c>
      <c r="D37" s="12">
        <v>268</v>
      </c>
      <c r="E37" s="12">
        <v>268</v>
      </c>
      <c r="F37" s="12"/>
      <c r="G37" s="12"/>
      <c r="H37" s="12" t="s">
        <v>10</v>
      </c>
      <c r="I37" s="12"/>
      <c r="J37" s="12"/>
      <c r="K37" s="14"/>
    </row>
    <row r="38" spans="1:11">
      <c r="A38" s="8">
        <v>45966</v>
      </c>
      <c r="B38" s="12">
        <v>632</v>
      </c>
      <c r="C38" s="13" t="s">
        <v>29</v>
      </c>
      <c r="D38" s="12">
        <v>750</v>
      </c>
      <c r="E38" s="12">
        <v>750</v>
      </c>
      <c r="F38" s="12"/>
      <c r="G38" s="12"/>
      <c r="H38" s="12" t="s">
        <v>10</v>
      </c>
      <c r="I38" s="12">
        <f>SUM(E38:E47)</f>
        <v>3996</v>
      </c>
      <c r="J38" s="12"/>
      <c r="K38" s="14"/>
    </row>
    <row r="39" spans="1:11">
      <c r="A39" s="8">
        <v>45966</v>
      </c>
      <c r="B39" s="12">
        <v>625</v>
      </c>
      <c r="C39" s="13" t="s">
        <v>12</v>
      </c>
      <c r="D39" s="12">
        <v>594</v>
      </c>
      <c r="E39" s="12">
        <v>594</v>
      </c>
      <c r="F39" s="12"/>
      <c r="G39" s="12"/>
      <c r="H39" s="12" t="s">
        <v>10</v>
      </c>
      <c r="I39" s="12"/>
      <c r="J39" s="12"/>
      <c r="K39" s="14"/>
    </row>
    <row r="40" spans="1:11">
      <c r="A40" s="8">
        <v>45966</v>
      </c>
      <c r="B40" s="12">
        <v>1861</v>
      </c>
      <c r="C40" s="13" t="s">
        <v>14</v>
      </c>
      <c r="D40" s="12">
        <v>528</v>
      </c>
      <c r="E40" s="12">
        <v>528</v>
      </c>
      <c r="F40" s="12"/>
      <c r="G40" s="12"/>
      <c r="H40" s="12" t="s">
        <v>10</v>
      </c>
      <c r="I40" s="12"/>
      <c r="J40" s="12"/>
      <c r="K40" s="14"/>
    </row>
    <row r="41" spans="1:11">
      <c r="A41" s="8">
        <v>45966</v>
      </c>
      <c r="B41" s="12">
        <v>909</v>
      </c>
      <c r="C41" s="13" t="s">
        <v>11</v>
      </c>
      <c r="D41" s="12">
        <v>753</v>
      </c>
      <c r="E41" s="12">
        <v>753</v>
      </c>
      <c r="F41" s="12"/>
      <c r="G41" s="12"/>
      <c r="H41" s="12" t="s">
        <v>10</v>
      </c>
      <c r="I41" s="12"/>
      <c r="J41" s="12"/>
      <c r="K41" s="14"/>
    </row>
    <row r="42" spans="1:11">
      <c r="A42" s="8">
        <v>45966</v>
      </c>
      <c r="B42" s="12">
        <v>908</v>
      </c>
      <c r="C42" s="13" t="s">
        <v>23</v>
      </c>
      <c r="D42" s="12">
        <v>296</v>
      </c>
      <c r="E42" s="12">
        <v>296</v>
      </c>
      <c r="F42" s="12"/>
      <c r="G42" s="12"/>
      <c r="H42" s="12" t="s">
        <v>10</v>
      </c>
      <c r="I42" s="12"/>
      <c r="J42" s="12"/>
      <c r="K42" s="14"/>
    </row>
    <row r="43" spans="1:11">
      <c r="A43" s="8">
        <v>45966</v>
      </c>
      <c r="B43" s="12">
        <v>656</v>
      </c>
      <c r="C43" s="13" t="s">
        <v>73</v>
      </c>
      <c r="D43" s="12">
        <v>46</v>
      </c>
      <c r="E43" s="12">
        <v>46</v>
      </c>
      <c r="F43" s="12"/>
      <c r="G43" s="12"/>
      <c r="H43" s="12" t="s">
        <v>10</v>
      </c>
      <c r="I43" s="12"/>
      <c r="J43" s="12"/>
      <c r="K43" s="14"/>
    </row>
    <row r="44" spans="1:11">
      <c r="A44" s="8">
        <v>45966</v>
      </c>
      <c r="B44" s="12">
        <v>659</v>
      </c>
      <c r="C44" s="13" t="s">
        <v>21</v>
      </c>
      <c r="D44" s="12">
        <v>215</v>
      </c>
      <c r="E44" s="12">
        <v>215</v>
      </c>
      <c r="F44" s="12"/>
      <c r="G44" s="12"/>
      <c r="H44" s="12" t="s">
        <v>10</v>
      </c>
      <c r="I44" s="12"/>
      <c r="J44" s="12"/>
      <c r="K44" s="14"/>
    </row>
    <row r="45" spans="1:11">
      <c r="A45" s="8">
        <v>45966</v>
      </c>
      <c r="B45" s="12">
        <v>845</v>
      </c>
      <c r="C45" s="13" t="s">
        <v>24</v>
      </c>
      <c r="D45" s="12">
        <v>296</v>
      </c>
      <c r="E45" s="12">
        <v>296</v>
      </c>
      <c r="F45" s="12"/>
      <c r="G45" s="12"/>
      <c r="H45" s="12" t="s">
        <v>10</v>
      </c>
      <c r="I45" s="12"/>
      <c r="J45" s="12"/>
      <c r="K45" s="14"/>
    </row>
    <row r="46" spans="1:11">
      <c r="A46" s="8">
        <v>45966</v>
      </c>
      <c r="B46" s="12">
        <v>6639</v>
      </c>
      <c r="C46" s="13" t="s">
        <v>9</v>
      </c>
      <c r="D46" s="12">
        <v>510</v>
      </c>
      <c r="E46" s="12">
        <v>510</v>
      </c>
      <c r="F46" s="12"/>
      <c r="G46" s="12"/>
      <c r="H46" s="12" t="s">
        <v>10</v>
      </c>
      <c r="I46" s="12"/>
      <c r="J46" s="12"/>
      <c r="K46" s="14"/>
    </row>
    <row r="47" spans="1:11">
      <c r="A47" s="8">
        <v>45966</v>
      </c>
      <c r="B47" s="12">
        <v>992</v>
      </c>
      <c r="C47" s="13" t="s">
        <v>15</v>
      </c>
      <c r="D47" s="12">
        <v>8</v>
      </c>
      <c r="E47" s="12">
        <v>8</v>
      </c>
      <c r="F47" s="12"/>
      <c r="G47" s="12"/>
      <c r="H47" s="12" t="s">
        <v>10</v>
      </c>
      <c r="I47" s="12"/>
      <c r="J47" s="12"/>
      <c r="K47" s="14"/>
    </row>
    <row r="48" spans="1:11">
      <c r="A48" s="8">
        <v>45967</v>
      </c>
      <c r="B48" s="12">
        <v>632</v>
      </c>
      <c r="C48" s="13" t="s">
        <v>29</v>
      </c>
      <c r="D48" s="12">
        <v>508</v>
      </c>
      <c r="E48" s="12">
        <v>508</v>
      </c>
      <c r="F48" s="12"/>
      <c r="G48" s="12"/>
      <c r="H48" s="12" t="s">
        <v>10</v>
      </c>
      <c r="I48" s="12">
        <f>SUM(E48:E65)</f>
        <v>5673</v>
      </c>
      <c r="J48" s="12"/>
      <c r="K48" s="14"/>
    </row>
    <row r="49" spans="1:11">
      <c r="A49" s="8">
        <v>45967</v>
      </c>
      <c r="B49" s="12">
        <v>625</v>
      </c>
      <c r="C49" s="13" t="s">
        <v>12</v>
      </c>
      <c r="D49" s="12">
        <v>368</v>
      </c>
      <c r="E49" s="12">
        <v>368</v>
      </c>
      <c r="F49" s="12"/>
      <c r="G49" s="12"/>
      <c r="H49" s="12" t="s">
        <v>10</v>
      </c>
      <c r="I49" s="12"/>
      <c r="J49" s="12"/>
      <c r="K49" s="14"/>
    </row>
    <row r="50" spans="1:11">
      <c r="A50" s="8">
        <v>45967</v>
      </c>
      <c r="B50" s="12">
        <v>909</v>
      </c>
      <c r="C50" s="13" t="s">
        <v>11</v>
      </c>
      <c r="D50" s="12">
        <v>546</v>
      </c>
      <c r="E50" s="12">
        <v>546</v>
      </c>
      <c r="F50" s="12"/>
      <c r="G50" s="12"/>
      <c r="H50" s="12" t="s">
        <v>10</v>
      </c>
      <c r="I50" s="12"/>
      <c r="J50" s="12"/>
      <c r="K50" s="14"/>
    </row>
    <row r="51" spans="1:11">
      <c r="A51" s="8">
        <v>45967</v>
      </c>
      <c r="B51" s="12">
        <v>6639</v>
      </c>
      <c r="C51" s="13" t="s">
        <v>9</v>
      </c>
      <c r="D51" s="12">
        <v>372</v>
      </c>
      <c r="E51" s="12">
        <v>372</v>
      </c>
      <c r="F51" s="12"/>
      <c r="G51" s="12"/>
      <c r="H51" s="12" t="s">
        <v>10</v>
      </c>
      <c r="I51" s="12"/>
      <c r="J51" s="12"/>
      <c r="K51" s="14"/>
    </row>
    <row r="52" spans="1:11">
      <c r="A52" s="8">
        <v>45967</v>
      </c>
      <c r="B52" s="12">
        <v>910</v>
      </c>
      <c r="C52" s="13" t="s">
        <v>22</v>
      </c>
      <c r="D52" s="12">
        <v>420</v>
      </c>
      <c r="E52" s="12">
        <v>420</v>
      </c>
      <c r="F52" s="12"/>
      <c r="G52" s="12"/>
      <c r="H52" s="12" t="s">
        <v>10</v>
      </c>
      <c r="I52" s="12"/>
      <c r="J52" s="12"/>
      <c r="K52" s="14"/>
    </row>
    <row r="53" spans="1:11">
      <c r="A53" s="8">
        <v>45967</v>
      </c>
      <c r="B53" s="12">
        <v>661</v>
      </c>
      <c r="C53" s="13" t="s">
        <v>30</v>
      </c>
      <c r="D53" s="12">
        <v>220</v>
      </c>
      <c r="E53" s="12">
        <v>220</v>
      </c>
      <c r="F53" s="12"/>
      <c r="G53" s="12"/>
      <c r="H53" s="12" t="s">
        <v>10</v>
      </c>
      <c r="I53" s="12"/>
      <c r="J53" s="12"/>
      <c r="K53" s="14"/>
    </row>
    <row r="54" spans="1:11">
      <c r="A54" s="8">
        <v>45967</v>
      </c>
      <c r="B54" s="12">
        <v>627</v>
      </c>
      <c r="C54" s="13" t="s">
        <v>71</v>
      </c>
      <c r="D54" s="12">
        <v>205</v>
      </c>
      <c r="E54" s="12">
        <v>205</v>
      </c>
      <c r="F54" s="12"/>
      <c r="G54" s="12"/>
      <c r="H54" s="12" t="s">
        <v>10</v>
      </c>
      <c r="I54" s="12"/>
      <c r="J54" s="12"/>
      <c r="K54" s="14"/>
    </row>
    <row r="55" spans="1:11">
      <c r="A55" s="8">
        <v>45967</v>
      </c>
      <c r="B55" s="12">
        <v>987</v>
      </c>
      <c r="C55" s="13" t="s">
        <v>16</v>
      </c>
      <c r="D55" s="12">
        <v>413</v>
      </c>
      <c r="E55" s="12">
        <v>413</v>
      </c>
      <c r="F55" s="12"/>
      <c r="G55" s="12"/>
      <c r="H55" s="12" t="s">
        <v>10</v>
      </c>
      <c r="I55" s="12"/>
      <c r="J55" s="12"/>
      <c r="K55" s="14"/>
    </row>
    <row r="56" spans="1:11">
      <c r="A56" s="8">
        <v>45967</v>
      </c>
      <c r="B56" s="12">
        <v>967</v>
      </c>
      <c r="C56" s="13" t="s">
        <v>72</v>
      </c>
      <c r="D56" s="12">
        <v>180</v>
      </c>
      <c r="E56" s="12">
        <v>180</v>
      </c>
      <c r="F56" s="12"/>
      <c r="G56" s="12"/>
      <c r="H56" s="12" t="s">
        <v>10</v>
      </c>
      <c r="I56" s="12"/>
      <c r="J56" s="12"/>
      <c r="K56" s="14"/>
    </row>
    <row r="57" spans="1:11">
      <c r="A57" s="8">
        <v>45967</v>
      </c>
      <c r="B57" s="12">
        <v>978</v>
      </c>
      <c r="C57" s="13" t="s">
        <v>25</v>
      </c>
      <c r="D57" s="12">
        <v>43</v>
      </c>
      <c r="E57" s="12">
        <v>43</v>
      </c>
      <c r="F57" s="12"/>
      <c r="G57" s="12"/>
      <c r="H57" s="12" t="s">
        <v>10</v>
      </c>
      <c r="I57" s="12"/>
      <c r="J57" s="12"/>
      <c r="K57" s="14"/>
    </row>
    <row r="58" spans="1:11">
      <c r="A58" s="8">
        <v>45967</v>
      </c>
      <c r="B58" s="12">
        <v>962</v>
      </c>
      <c r="C58" s="13" t="s">
        <v>19</v>
      </c>
      <c r="D58" s="12">
        <v>168</v>
      </c>
      <c r="E58" s="12">
        <v>168</v>
      </c>
      <c r="F58" s="12"/>
      <c r="G58" s="12"/>
      <c r="H58" s="12" t="s">
        <v>10</v>
      </c>
      <c r="I58" s="12"/>
      <c r="J58" s="12"/>
      <c r="K58" s="14"/>
    </row>
    <row r="59" spans="1:11">
      <c r="A59" s="8">
        <v>45967</v>
      </c>
      <c r="B59" s="12">
        <v>985</v>
      </c>
      <c r="C59" s="13" t="s">
        <v>26</v>
      </c>
      <c r="D59" s="12">
        <v>344</v>
      </c>
      <c r="E59" s="12">
        <v>344</v>
      </c>
      <c r="F59" s="12"/>
      <c r="G59" s="12"/>
      <c r="H59" s="12" t="s">
        <v>10</v>
      </c>
      <c r="I59" s="12"/>
      <c r="J59" s="12"/>
      <c r="K59" s="14"/>
    </row>
    <row r="60" spans="1:11">
      <c r="A60" s="8">
        <v>45967</v>
      </c>
      <c r="B60" s="12">
        <v>963</v>
      </c>
      <c r="C60" s="13" t="s">
        <v>18</v>
      </c>
      <c r="D60" s="12">
        <v>200</v>
      </c>
      <c r="E60" s="12">
        <v>200</v>
      </c>
      <c r="F60" s="12"/>
      <c r="G60" s="12"/>
      <c r="H60" s="12" t="s">
        <v>10</v>
      </c>
      <c r="I60" s="12"/>
      <c r="J60" s="12"/>
      <c r="K60" s="14"/>
    </row>
    <row r="61" spans="1:11">
      <c r="A61" s="8">
        <v>45967</v>
      </c>
      <c r="B61" s="12">
        <v>991</v>
      </c>
      <c r="C61" s="13" t="s">
        <v>27</v>
      </c>
      <c r="D61" s="12">
        <v>108</v>
      </c>
      <c r="E61" s="12">
        <v>108</v>
      </c>
      <c r="F61" s="12"/>
      <c r="G61" s="12"/>
      <c r="H61" s="12" t="s">
        <v>10</v>
      </c>
      <c r="I61" s="12"/>
      <c r="J61" s="12"/>
      <c r="K61" s="14"/>
    </row>
    <row r="62" spans="1:11">
      <c r="A62" s="8">
        <v>45967</v>
      </c>
      <c r="B62" s="12">
        <v>992</v>
      </c>
      <c r="C62" s="13" t="s">
        <v>15</v>
      </c>
      <c r="D62" s="12">
        <v>300</v>
      </c>
      <c r="E62" s="12">
        <v>300</v>
      </c>
      <c r="F62" s="12"/>
      <c r="G62" s="12"/>
      <c r="H62" s="12" t="s">
        <v>10</v>
      </c>
      <c r="I62" s="12"/>
      <c r="J62" s="12"/>
      <c r="K62" s="14"/>
    </row>
    <row r="63" spans="1:11">
      <c r="A63" s="8">
        <v>45967</v>
      </c>
      <c r="B63" s="12">
        <v>988</v>
      </c>
      <c r="C63" s="13" t="s">
        <v>17</v>
      </c>
      <c r="D63" s="12">
        <v>188</v>
      </c>
      <c r="E63" s="12">
        <v>188</v>
      </c>
      <c r="F63" s="12"/>
      <c r="G63" s="12"/>
      <c r="H63" s="12" t="s">
        <v>10</v>
      </c>
      <c r="I63" s="12"/>
      <c r="J63" s="12"/>
      <c r="K63" s="14"/>
    </row>
    <row r="64" spans="1:11">
      <c r="A64" s="8">
        <v>45967</v>
      </c>
      <c r="B64" s="12">
        <v>8839</v>
      </c>
      <c r="C64" s="13" t="s">
        <v>20</v>
      </c>
      <c r="D64" s="12">
        <v>472</v>
      </c>
      <c r="E64" s="12">
        <v>472</v>
      </c>
      <c r="F64" s="12"/>
      <c r="G64" s="12"/>
      <c r="H64" s="12" t="s">
        <v>10</v>
      </c>
      <c r="I64" s="12"/>
      <c r="J64" s="12"/>
      <c r="K64" s="14"/>
    </row>
    <row r="65" spans="1:11">
      <c r="A65" s="8">
        <v>45967</v>
      </c>
      <c r="B65" s="12">
        <v>1861</v>
      </c>
      <c r="C65" s="13" t="s">
        <v>14</v>
      </c>
      <c r="D65" s="12">
        <v>618</v>
      </c>
      <c r="E65" s="12">
        <v>618</v>
      </c>
      <c r="F65" s="12"/>
      <c r="G65" s="12"/>
      <c r="H65" s="12" t="s">
        <v>10</v>
      </c>
      <c r="I65" s="12"/>
      <c r="J65" s="12"/>
      <c r="K65" s="14"/>
    </row>
    <row r="66" spans="1:11">
      <c r="A66" s="8">
        <v>45968</v>
      </c>
      <c r="B66" s="12">
        <v>632</v>
      </c>
      <c r="C66" s="13" t="s">
        <v>29</v>
      </c>
      <c r="D66" s="12">
        <v>576</v>
      </c>
      <c r="E66" s="12">
        <v>576</v>
      </c>
      <c r="F66" s="12"/>
      <c r="G66" s="12"/>
      <c r="H66" s="12" t="s">
        <v>10</v>
      </c>
      <c r="I66" s="12">
        <f>SUM(E66:E74)</f>
        <v>3384</v>
      </c>
      <c r="J66" s="12"/>
      <c r="K66" s="14"/>
    </row>
    <row r="67" spans="1:11">
      <c r="A67" s="8">
        <v>45968</v>
      </c>
      <c r="B67" s="12">
        <v>6639</v>
      </c>
      <c r="C67" s="13" t="s">
        <v>9</v>
      </c>
      <c r="D67" s="12">
        <v>492</v>
      </c>
      <c r="E67" s="12">
        <v>492</v>
      </c>
      <c r="F67" s="12"/>
      <c r="G67" s="12"/>
      <c r="H67" s="12" t="s">
        <v>10</v>
      </c>
      <c r="I67" s="12"/>
      <c r="J67" s="12"/>
      <c r="K67" s="14"/>
    </row>
    <row r="68" spans="1:11">
      <c r="A68" s="8">
        <v>45968</v>
      </c>
      <c r="B68" s="12">
        <v>909</v>
      </c>
      <c r="C68" s="13" t="s">
        <v>11</v>
      </c>
      <c r="D68" s="12">
        <v>408</v>
      </c>
      <c r="E68" s="12">
        <v>408</v>
      </c>
      <c r="F68" s="12"/>
      <c r="G68" s="12"/>
      <c r="H68" s="12" t="s">
        <v>10</v>
      </c>
      <c r="I68" s="12"/>
      <c r="J68" s="12"/>
      <c r="K68" s="14"/>
    </row>
    <row r="69" spans="1:11">
      <c r="A69" s="8">
        <v>45968</v>
      </c>
      <c r="B69" s="12">
        <v>659</v>
      </c>
      <c r="C69" s="13" t="s">
        <v>21</v>
      </c>
      <c r="D69" s="12">
        <v>18</v>
      </c>
      <c r="E69" s="12">
        <v>18</v>
      </c>
      <c r="F69" s="12"/>
      <c r="G69" s="12"/>
      <c r="H69" s="12" t="s">
        <v>10</v>
      </c>
      <c r="I69" s="12"/>
      <c r="J69" s="12"/>
      <c r="K69" s="14"/>
    </row>
    <row r="70" spans="1:11">
      <c r="A70" s="8">
        <v>45968</v>
      </c>
      <c r="B70" s="12">
        <v>908</v>
      </c>
      <c r="C70" s="13" t="s">
        <v>23</v>
      </c>
      <c r="D70" s="12">
        <v>352</v>
      </c>
      <c r="E70" s="12">
        <v>352</v>
      </c>
      <c r="F70" s="12"/>
      <c r="G70" s="12"/>
      <c r="H70" s="12" t="s">
        <v>10</v>
      </c>
      <c r="I70" s="12"/>
      <c r="J70" s="12"/>
      <c r="K70" s="14"/>
    </row>
    <row r="71" spans="1:11">
      <c r="A71" s="8">
        <v>45968</v>
      </c>
      <c r="B71" s="12">
        <v>845</v>
      </c>
      <c r="C71" s="13" t="s">
        <v>24</v>
      </c>
      <c r="D71" s="12">
        <v>316</v>
      </c>
      <c r="E71" s="12">
        <v>316</v>
      </c>
      <c r="F71" s="12"/>
      <c r="G71" s="12"/>
      <c r="H71" s="12" t="s">
        <v>10</v>
      </c>
      <c r="I71" s="12"/>
      <c r="J71" s="12"/>
      <c r="K71" s="14"/>
    </row>
    <row r="72" spans="1:11">
      <c r="A72" s="8">
        <v>45968</v>
      </c>
      <c r="B72" s="12">
        <v>625</v>
      </c>
      <c r="C72" s="13" t="s">
        <v>12</v>
      </c>
      <c r="D72" s="12">
        <v>384</v>
      </c>
      <c r="E72" s="12">
        <v>384</v>
      </c>
      <c r="F72" s="12"/>
      <c r="G72" s="12"/>
      <c r="H72" s="12" t="s">
        <v>10</v>
      </c>
      <c r="I72" s="12"/>
      <c r="J72" s="12"/>
      <c r="K72" s="14"/>
    </row>
    <row r="73" spans="1:11">
      <c r="A73" s="8">
        <v>45968</v>
      </c>
      <c r="B73" s="12">
        <v>965</v>
      </c>
      <c r="C73" s="13" t="s">
        <v>28</v>
      </c>
      <c r="D73" s="12">
        <v>292</v>
      </c>
      <c r="E73" s="12">
        <v>292</v>
      </c>
      <c r="F73" s="12"/>
      <c r="G73" s="12"/>
      <c r="H73" s="12" t="s">
        <v>10</v>
      </c>
      <c r="I73" s="12"/>
      <c r="J73" s="12"/>
      <c r="K73" s="14"/>
    </row>
    <row r="74" spans="1:11">
      <c r="A74" s="8">
        <v>45968</v>
      </c>
      <c r="B74" s="12">
        <v>1861</v>
      </c>
      <c r="C74" s="13" t="s">
        <v>14</v>
      </c>
      <c r="D74" s="12">
        <v>546</v>
      </c>
      <c r="E74" s="12">
        <v>546</v>
      </c>
      <c r="F74" s="12"/>
      <c r="G74" s="12"/>
      <c r="H74" s="12" t="s">
        <v>10</v>
      </c>
      <c r="I74" s="12"/>
      <c r="J74" s="12"/>
      <c r="K74" s="14"/>
    </row>
    <row r="75" spans="1:11">
      <c r="A75" s="8">
        <v>45969</v>
      </c>
      <c r="B75" s="12">
        <v>992</v>
      </c>
      <c r="C75" s="13" t="s">
        <v>15</v>
      </c>
      <c r="D75" s="12">
        <v>440</v>
      </c>
      <c r="E75" s="12">
        <v>440</v>
      </c>
      <c r="F75" s="12"/>
      <c r="G75" s="12"/>
      <c r="H75" s="12" t="s">
        <v>10</v>
      </c>
      <c r="I75" s="12">
        <f>SUM(E75:E83)</f>
        <v>1116</v>
      </c>
      <c r="J75" s="12"/>
      <c r="K75" s="14"/>
    </row>
    <row r="76" spans="1:11">
      <c r="A76" s="8">
        <v>45969</v>
      </c>
      <c r="B76" s="12">
        <v>991</v>
      </c>
      <c r="C76" s="13" t="s">
        <v>27</v>
      </c>
      <c r="D76" s="12">
        <v>168</v>
      </c>
      <c r="E76" s="12">
        <v>168</v>
      </c>
      <c r="F76" s="12"/>
      <c r="G76" s="12"/>
      <c r="H76" s="12" t="s">
        <v>10</v>
      </c>
      <c r="I76" s="12"/>
      <c r="J76" s="12"/>
      <c r="K76" s="14"/>
    </row>
    <row r="77" spans="1:11">
      <c r="A77" s="8">
        <v>45969</v>
      </c>
      <c r="B77" s="12">
        <v>962</v>
      </c>
      <c r="C77" s="13" t="s">
        <v>19</v>
      </c>
      <c r="D77" s="12">
        <v>192</v>
      </c>
      <c r="E77" s="12">
        <v>192</v>
      </c>
      <c r="F77" s="12"/>
      <c r="G77" s="12"/>
      <c r="H77" s="12" t="s">
        <v>10</v>
      </c>
      <c r="I77" s="12"/>
      <c r="J77" s="12"/>
      <c r="K77" s="14"/>
    </row>
    <row r="78" spans="1:11">
      <c r="A78" s="8">
        <v>45969</v>
      </c>
      <c r="B78" s="12">
        <v>625</v>
      </c>
      <c r="C78" s="13" t="s">
        <v>12</v>
      </c>
      <c r="D78" s="12">
        <v>268</v>
      </c>
      <c r="E78" s="12">
        <v>268</v>
      </c>
      <c r="F78" s="12"/>
      <c r="G78" s="12"/>
      <c r="H78" s="12" t="s">
        <v>10</v>
      </c>
      <c r="I78" s="12"/>
      <c r="J78" s="12"/>
      <c r="K78" s="14"/>
    </row>
    <row r="79" spans="1:11">
      <c r="A79" s="8">
        <v>45969</v>
      </c>
      <c r="B79" s="12">
        <v>991</v>
      </c>
      <c r="C79" s="13" t="s">
        <v>27</v>
      </c>
      <c r="D79" s="12">
        <v>7</v>
      </c>
      <c r="E79" s="12">
        <v>7</v>
      </c>
      <c r="F79" s="12"/>
      <c r="G79" s="12"/>
      <c r="H79" s="12" t="s">
        <v>10</v>
      </c>
      <c r="I79" s="12"/>
      <c r="J79" s="12"/>
      <c r="K79" s="14"/>
    </row>
    <row r="80" spans="1:11">
      <c r="A80" s="8">
        <v>45969</v>
      </c>
      <c r="B80" s="12">
        <v>992</v>
      </c>
      <c r="C80" s="13" t="s">
        <v>15</v>
      </c>
      <c r="D80" s="12">
        <v>5</v>
      </c>
      <c r="E80" s="12">
        <v>5</v>
      </c>
      <c r="F80" s="12"/>
      <c r="G80" s="12"/>
      <c r="H80" s="12" t="s">
        <v>10</v>
      </c>
      <c r="I80" s="12"/>
      <c r="J80" s="12"/>
      <c r="K80" s="14"/>
    </row>
    <row r="81" spans="1:11">
      <c r="A81" s="8">
        <v>45969</v>
      </c>
      <c r="B81" s="12">
        <v>987</v>
      </c>
      <c r="C81" s="13" t="s">
        <v>16</v>
      </c>
      <c r="D81" s="12">
        <v>16</v>
      </c>
      <c r="E81" s="12">
        <v>16</v>
      </c>
      <c r="F81" s="12"/>
      <c r="G81" s="12"/>
      <c r="H81" s="12" t="s">
        <v>10</v>
      </c>
      <c r="I81" s="12"/>
      <c r="J81" s="12"/>
      <c r="K81" s="14"/>
    </row>
    <row r="82" spans="1:11">
      <c r="A82" s="8">
        <v>45969</v>
      </c>
      <c r="B82" s="12">
        <v>965</v>
      </c>
      <c r="C82" s="13" t="s">
        <v>28</v>
      </c>
      <c r="D82" s="12">
        <v>10</v>
      </c>
      <c r="E82" s="12">
        <v>10</v>
      </c>
      <c r="F82" s="12"/>
      <c r="G82" s="12"/>
      <c r="H82" s="12" t="s">
        <v>10</v>
      </c>
      <c r="I82" s="12"/>
      <c r="J82" s="12"/>
      <c r="K82" s="14"/>
    </row>
    <row r="83" spans="1:11">
      <c r="A83" s="8">
        <v>45969</v>
      </c>
      <c r="B83" s="12">
        <v>963</v>
      </c>
      <c r="C83" s="13" t="s">
        <v>18</v>
      </c>
      <c r="D83" s="12">
        <v>10</v>
      </c>
      <c r="E83" s="12">
        <v>10</v>
      </c>
      <c r="F83" s="12"/>
      <c r="G83" s="12"/>
      <c r="H83" s="12" t="s">
        <v>10</v>
      </c>
      <c r="I83" s="12"/>
      <c r="J83" s="12"/>
      <c r="K83" s="14"/>
    </row>
    <row r="84" spans="1:11">
      <c r="A84" s="8">
        <v>45971</v>
      </c>
      <c r="B84" s="12">
        <v>6639</v>
      </c>
      <c r="C84" s="13" t="s">
        <v>9</v>
      </c>
      <c r="D84" s="12">
        <v>594</v>
      </c>
      <c r="E84" s="12">
        <v>594</v>
      </c>
      <c r="F84" s="12"/>
      <c r="G84" s="12"/>
      <c r="H84" s="12" t="s">
        <v>10</v>
      </c>
      <c r="I84" s="12">
        <f>SUM(E84:E89)</f>
        <v>1470</v>
      </c>
      <c r="J84" s="12"/>
      <c r="K84" s="14"/>
    </row>
    <row r="85" spans="1:11">
      <c r="A85" s="8">
        <v>45971</v>
      </c>
      <c r="B85" s="12">
        <v>965</v>
      </c>
      <c r="C85" s="13" t="s">
        <v>28</v>
      </c>
      <c r="D85" s="12">
        <v>204</v>
      </c>
      <c r="E85" s="12">
        <v>204</v>
      </c>
      <c r="F85" s="12"/>
      <c r="G85" s="12"/>
      <c r="H85" s="12" t="s">
        <v>10</v>
      </c>
      <c r="I85" s="12"/>
      <c r="J85" s="12"/>
      <c r="K85" s="14"/>
    </row>
    <row r="86" spans="1:11">
      <c r="A86" s="8">
        <v>45971</v>
      </c>
      <c r="B86" s="12">
        <v>987</v>
      </c>
      <c r="C86" s="13" t="s">
        <v>16</v>
      </c>
      <c r="D86" s="12">
        <v>170</v>
      </c>
      <c r="E86" s="12">
        <v>170</v>
      </c>
      <c r="F86" s="12"/>
      <c r="G86" s="12"/>
      <c r="H86" s="12" t="s">
        <v>10</v>
      </c>
      <c r="I86" s="12"/>
      <c r="J86" s="12"/>
      <c r="K86" s="14"/>
    </row>
    <row r="87" spans="1:11">
      <c r="A87" s="8">
        <v>45971</v>
      </c>
      <c r="B87" s="12">
        <v>978</v>
      </c>
      <c r="C87" s="13" t="s">
        <v>25</v>
      </c>
      <c r="D87" s="12">
        <v>58</v>
      </c>
      <c r="E87" s="12">
        <v>58</v>
      </c>
      <c r="F87" s="12"/>
      <c r="G87" s="12"/>
      <c r="H87" s="12" t="s">
        <v>10</v>
      </c>
      <c r="I87" s="12"/>
      <c r="J87" s="12"/>
      <c r="K87" s="14"/>
    </row>
    <row r="88" spans="1:11">
      <c r="A88" s="8">
        <v>45971</v>
      </c>
      <c r="B88" s="12">
        <v>988</v>
      </c>
      <c r="C88" s="13" t="s">
        <v>17</v>
      </c>
      <c r="D88" s="12">
        <v>108</v>
      </c>
      <c r="E88" s="12">
        <v>108</v>
      </c>
      <c r="F88" s="12"/>
      <c r="G88" s="12"/>
      <c r="H88" s="12" t="s">
        <v>10</v>
      </c>
      <c r="I88" s="12"/>
      <c r="J88" s="12"/>
      <c r="K88" s="14"/>
    </row>
    <row r="89" spans="1:11">
      <c r="A89" s="8">
        <v>45971</v>
      </c>
      <c r="B89" s="12">
        <v>8839</v>
      </c>
      <c r="C89" s="13" t="s">
        <v>20</v>
      </c>
      <c r="D89" s="12">
        <v>336</v>
      </c>
      <c r="E89" s="12">
        <v>336</v>
      </c>
      <c r="F89" s="12"/>
      <c r="G89" s="12"/>
      <c r="H89" s="12" t="s">
        <v>10</v>
      </c>
      <c r="I89" s="12"/>
      <c r="J89" s="12"/>
      <c r="K89" s="14"/>
    </row>
    <row r="90" spans="1:11">
      <c r="A90" s="8">
        <v>45973</v>
      </c>
      <c r="B90" s="12">
        <v>6639</v>
      </c>
      <c r="C90" s="13" t="s">
        <v>9</v>
      </c>
      <c r="D90" s="12">
        <v>264</v>
      </c>
      <c r="E90" s="12">
        <v>264</v>
      </c>
      <c r="F90" s="12"/>
      <c r="G90" s="12"/>
      <c r="H90" s="12" t="s">
        <v>10</v>
      </c>
      <c r="I90" s="12">
        <f>SUM(E90:E97)</f>
        <v>1060</v>
      </c>
      <c r="J90" s="12"/>
      <c r="K90" s="14"/>
    </row>
    <row r="91" spans="1:11">
      <c r="A91" s="8">
        <v>45973</v>
      </c>
      <c r="B91" s="12">
        <v>909</v>
      </c>
      <c r="C91" s="13" t="s">
        <v>11</v>
      </c>
      <c r="D91" s="12">
        <v>107</v>
      </c>
      <c r="E91" s="12">
        <v>107</v>
      </c>
      <c r="F91" s="12"/>
      <c r="G91" s="12"/>
      <c r="H91" s="12" t="s">
        <v>10</v>
      </c>
      <c r="I91" s="12"/>
      <c r="J91" s="12"/>
      <c r="K91" s="14"/>
    </row>
    <row r="92" spans="1:11">
      <c r="A92" s="8">
        <v>45973</v>
      </c>
      <c r="B92" s="12">
        <v>908</v>
      </c>
      <c r="C92" s="13" t="s">
        <v>23</v>
      </c>
      <c r="D92" s="12">
        <v>107</v>
      </c>
      <c r="E92" s="12">
        <v>107</v>
      </c>
      <c r="F92" s="12"/>
      <c r="G92" s="12"/>
      <c r="H92" s="12" t="s">
        <v>10</v>
      </c>
      <c r="I92" s="12"/>
      <c r="J92" s="12"/>
      <c r="K92" s="14"/>
    </row>
    <row r="93" spans="1:11">
      <c r="A93" s="8">
        <v>45973</v>
      </c>
      <c r="B93" s="12">
        <v>659</v>
      </c>
      <c r="C93" s="13" t="s">
        <v>21</v>
      </c>
      <c r="D93" s="12">
        <v>74</v>
      </c>
      <c r="E93" s="12">
        <v>74</v>
      </c>
      <c r="F93" s="12"/>
      <c r="G93" s="12"/>
      <c r="H93" s="12" t="s">
        <v>10</v>
      </c>
      <c r="I93" s="12"/>
      <c r="J93" s="12"/>
      <c r="K93" s="14"/>
    </row>
    <row r="94" spans="1:11">
      <c r="A94" s="8">
        <v>45973</v>
      </c>
      <c r="B94" s="12">
        <v>627</v>
      </c>
      <c r="C94" s="13" t="s">
        <v>71</v>
      </c>
      <c r="D94" s="12">
        <v>94</v>
      </c>
      <c r="E94" s="12">
        <v>94</v>
      </c>
      <c r="F94" s="12"/>
      <c r="G94" s="12"/>
      <c r="H94" s="12" t="s">
        <v>10</v>
      </c>
      <c r="I94" s="12"/>
      <c r="J94" s="12"/>
      <c r="K94" s="14"/>
    </row>
    <row r="95" spans="1:11">
      <c r="A95" s="8">
        <v>45973</v>
      </c>
      <c r="B95" s="12">
        <v>653</v>
      </c>
      <c r="C95" s="13" t="s">
        <v>74</v>
      </c>
      <c r="D95" s="12">
        <v>46</v>
      </c>
      <c r="E95" s="12">
        <v>46</v>
      </c>
      <c r="F95" s="12"/>
      <c r="G95" s="12"/>
      <c r="H95" s="12" t="s">
        <v>10</v>
      </c>
      <c r="I95" s="12"/>
      <c r="J95" s="12"/>
      <c r="K95" s="14"/>
    </row>
    <row r="96" spans="1:11">
      <c r="A96" s="8">
        <v>45973</v>
      </c>
      <c r="B96" s="12">
        <v>656</v>
      </c>
      <c r="C96" s="13" t="s">
        <v>73</v>
      </c>
      <c r="D96" s="12">
        <v>40</v>
      </c>
      <c r="E96" s="12">
        <v>40</v>
      </c>
      <c r="F96" s="12"/>
      <c r="G96" s="12"/>
      <c r="H96" s="12" t="s">
        <v>10</v>
      </c>
      <c r="I96" s="12"/>
      <c r="J96" s="12"/>
      <c r="K96" s="14"/>
    </row>
    <row r="97" spans="1:11">
      <c r="A97" s="8">
        <v>45973</v>
      </c>
      <c r="B97" s="12">
        <v>8839</v>
      </c>
      <c r="C97" s="13" t="s">
        <v>20</v>
      </c>
      <c r="D97" s="12">
        <v>328</v>
      </c>
      <c r="E97" s="12">
        <v>328</v>
      </c>
      <c r="F97" s="12"/>
      <c r="G97" s="12"/>
      <c r="H97" s="12" t="s">
        <v>10</v>
      </c>
      <c r="I97" s="12"/>
      <c r="J97" s="12"/>
      <c r="K97" s="14"/>
    </row>
    <row r="98" spans="1:11">
      <c r="A98" s="8">
        <v>45974</v>
      </c>
      <c r="B98" s="12">
        <v>625</v>
      </c>
      <c r="C98" s="13" t="s">
        <v>12</v>
      </c>
      <c r="D98" s="12">
        <v>558</v>
      </c>
      <c r="E98" s="12">
        <v>558</v>
      </c>
      <c r="F98" s="12"/>
      <c r="G98" s="12"/>
      <c r="H98" s="12" t="s">
        <v>10</v>
      </c>
      <c r="I98" s="12">
        <f>SUM(E98:E105)</f>
        <v>1725</v>
      </c>
      <c r="J98" s="12"/>
      <c r="K98" s="14"/>
    </row>
    <row r="99" spans="1:11">
      <c r="A99" s="8">
        <v>45974</v>
      </c>
      <c r="B99" s="12">
        <v>991</v>
      </c>
      <c r="C99" s="13" t="s">
        <v>27</v>
      </c>
      <c r="D99" s="12">
        <v>213</v>
      </c>
      <c r="E99" s="12">
        <v>213</v>
      </c>
      <c r="F99" s="12"/>
      <c r="G99" s="12"/>
      <c r="H99" s="12" t="s">
        <v>10</v>
      </c>
      <c r="I99" s="12"/>
      <c r="J99" s="12"/>
      <c r="K99" s="14"/>
    </row>
    <row r="100" spans="1:11">
      <c r="A100" s="8">
        <v>45974</v>
      </c>
      <c r="B100" s="12">
        <v>992</v>
      </c>
      <c r="C100" s="13" t="s">
        <v>15</v>
      </c>
      <c r="D100" s="12">
        <v>79</v>
      </c>
      <c r="E100" s="12">
        <v>79</v>
      </c>
      <c r="F100" s="12"/>
      <c r="G100" s="12"/>
      <c r="H100" s="12" t="s">
        <v>10</v>
      </c>
      <c r="I100" s="12"/>
      <c r="J100" s="12"/>
      <c r="K100" s="14"/>
    </row>
    <row r="101" spans="1:11">
      <c r="A101" s="8">
        <v>45974</v>
      </c>
      <c r="B101" s="12">
        <v>987</v>
      </c>
      <c r="C101" s="13" t="s">
        <v>16</v>
      </c>
      <c r="D101" s="12">
        <v>7116</v>
      </c>
      <c r="E101" s="12">
        <v>116</v>
      </c>
      <c r="F101" s="12"/>
      <c r="G101" s="12"/>
      <c r="H101" s="12" t="s">
        <v>10</v>
      </c>
      <c r="I101" s="12"/>
      <c r="J101" s="12"/>
      <c r="K101" s="14"/>
    </row>
    <row r="102" spans="1:11">
      <c r="A102" s="8">
        <v>45974</v>
      </c>
      <c r="B102" s="12">
        <v>988</v>
      </c>
      <c r="C102" s="13" t="s">
        <v>17</v>
      </c>
      <c r="D102" s="12">
        <v>69</v>
      </c>
      <c r="E102" s="12">
        <v>69</v>
      </c>
      <c r="F102" s="12"/>
      <c r="G102" s="12"/>
      <c r="H102" s="12" t="s">
        <v>10</v>
      </c>
      <c r="I102" s="12"/>
      <c r="J102" s="12"/>
      <c r="K102" s="14"/>
    </row>
    <row r="103" spans="1:11">
      <c r="A103" s="8">
        <v>45974</v>
      </c>
      <c r="B103" s="12">
        <v>985</v>
      </c>
      <c r="C103" s="13" t="s">
        <v>26</v>
      </c>
      <c r="D103" s="12">
        <v>236</v>
      </c>
      <c r="E103" s="12">
        <v>236</v>
      </c>
      <c r="F103" s="12"/>
      <c r="G103" s="12"/>
      <c r="H103" s="12" t="s">
        <v>10</v>
      </c>
      <c r="I103" s="12"/>
      <c r="J103" s="12"/>
      <c r="K103" s="14"/>
    </row>
    <row r="104" spans="1:11">
      <c r="A104" s="8">
        <v>45974</v>
      </c>
      <c r="B104" s="12">
        <v>963</v>
      </c>
      <c r="C104" s="13" t="s">
        <v>18</v>
      </c>
      <c r="D104" s="12">
        <v>214</v>
      </c>
      <c r="E104" s="12">
        <v>214</v>
      </c>
      <c r="F104" s="12"/>
      <c r="G104" s="12"/>
      <c r="H104" s="12" t="s">
        <v>10</v>
      </c>
      <c r="I104" s="12"/>
      <c r="J104" s="12"/>
      <c r="K104" s="14"/>
    </row>
    <row r="105" spans="1:11">
      <c r="A105" s="8">
        <v>45974</v>
      </c>
      <c r="B105" s="12">
        <v>965</v>
      </c>
      <c r="C105" s="13" t="s">
        <v>28</v>
      </c>
      <c r="D105" s="12">
        <v>240</v>
      </c>
      <c r="E105" s="12">
        <v>240</v>
      </c>
      <c r="F105" s="12"/>
      <c r="G105" s="12"/>
      <c r="H105" s="12" t="s">
        <v>10</v>
      </c>
      <c r="I105" s="12"/>
      <c r="J105" s="12"/>
      <c r="K105" s="14"/>
    </row>
    <row r="106" spans="1:11">
      <c r="A106" s="8">
        <v>45975</v>
      </c>
      <c r="B106" s="12">
        <v>625</v>
      </c>
      <c r="C106" s="13" t="s">
        <v>12</v>
      </c>
      <c r="D106" s="12">
        <v>594</v>
      </c>
      <c r="E106" s="12">
        <v>594</v>
      </c>
      <c r="F106" s="12"/>
      <c r="G106" s="12"/>
      <c r="H106" s="12" t="s">
        <v>10</v>
      </c>
      <c r="I106" s="12">
        <f>SUM(E106:E118)</f>
        <v>3469</v>
      </c>
      <c r="J106" s="12"/>
      <c r="K106" s="14"/>
    </row>
    <row r="107" spans="1:11">
      <c r="A107" s="8">
        <v>45975</v>
      </c>
      <c r="B107" s="12">
        <v>6639</v>
      </c>
      <c r="C107" s="13" t="s">
        <v>9</v>
      </c>
      <c r="D107" s="12">
        <v>456</v>
      </c>
      <c r="E107" s="12">
        <v>456</v>
      </c>
      <c r="F107" s="12"/>
      <c r="G107" s="12"/>
      <c r="H107" s="12" t="s">
        <v>10</v>
      </c>
      <c r="I107" s="12"/>
      <c r="J107" s="12"/>
      <c r="K107" s="14"/>
    </row>
    <row r="108" spans="1:11">
      <c r="A108" s="8">
        <v>45975</v>
      </c>
      <c r="B108" s="12">
        <v>909</v>
      </c>
      <c r="C108" s="13" t="s">
        <v>11</v>
      </c>
      <c r="D108" s="12">
        <v>369</v>
      </c>
      <c r="E108" s="12">
        <v>369</v>
      </c>
      <c r="F108" s="12"/>
      <c r="G108" s="12"/>
      <c r="H108" s="12" t="s">
        <v>10</v>
      </c>
      <c r="I108" s="12"/>
      <c r="J108" s="12"/>
      <c r="K108" s="14"/>
    </row>
    <row r="109" spans="1:11">
      <c r="A109" s="8">
        <v>45975</v>
      </c>
      <c r="B109" s="12">
        <v>910</v>
      </c>
      <c r="C109" s="13" t="s">
        <v>22</v>
      </c>
      <c r="D109" s="12">
        <v>189</v>
      </c>
      <c r="E109" s="12">
        <v>189</v>
      </c>
      <c r="F109" s="12"/>
      <c r="G109" s="12"/>
      <c r="H109" s="12" t="s">
        <v>10</v>
      </c>
      <c r="I109" s="12"/>
      <c r="J109" s="12"/>
      <c r="K109" s="14"/>
    </row>
    <row r="110" spans="1:11">
      <c r="A110" s="8">
        <v>45975</v>
      </c>
      <c r="B110" s="12">
        <v>661</v>
      </c>
      <c r="C110" s="13" t="s">
        <v>30</v>
      </c>
      <c r="D110" s="12">
        <v>45</v>
      </c>
      <c r="E110" s="12">
        <v>45</v>
      </c>
      <c r="F110" s="12"/>
      <c r="G110" s="12"/>
      <c r="H110" s="12" t="s">
        <v>10</v>
      </c>
      <c r="I110" s="12"/>
      <c r="J110" s="12"/>
      <c r="K110" s="14"/>
    </row>
    <row r="111" spans="1:11">
      <c r="A111" s="8">
        <v>45975</v>
      </c>
      <c r="B111" s="12">
        <v>1861</v>
      </c>
      <c r="C111" s="13" t="s">
        <v>14</v>
      </c>
      <c r="D111" s="12">
        <v>342</v>
      </c>
      <c r="E111" s="12">
        <v>342</v>
      </c>
      <c r="F111" s="12"/>
      <c r="G111" s="12"/>
      <c r="H111" s="12" t="s">
        <v>10</v>
      </c>
      <c r="I111" s="12"/>
      <c r="J111" s="12"/>
      <c r="K111" s="14"/>
    </row>
    <row r="112" spans="1:11">
      <c r="A112" s="8">
        <v>45975</v>
      </c>
      <c r="B112" s="12">
        <v>962</v>
      </c>
      <c r="C112" s="13" t="s">
        <v>19</v>
      </c>
      <c r="D112" s="12">
        <v>348</v>
      </c>
      <c r="E112" s="12">
        <v>348</v>
      </c>
      <c r="F112" s="12"/>
      <c r="G112" s="12"/>
      <c r="H112" s="12" t="s">
        <v>10</v>
      </c>
      <c r="I112" s="12"/>
      <c r="J112" s="12"/>
      <c r="K112" s="14"/>
    </row>
    <row r="113" spans="1:11">
      <c r="A113" s="8">
        <v>45975</v>
      </c>
      <c r="B113" s="12">
        <v>988</v>
      </c>
      <c r="C113" s="13" t="s">
        <v>17</v>
      </c>
      <c r="D113" s="12">
        <v>148</v>
      </c>
      <c r="E113" s="12">
        <v>148</v>
      </c>
      <c r="F113" s="12"/>
      <c r="G113" s="12"/>
      <c r="H113" s="12" t="s">
        <v>10</v>
      </c>
      <c r="I113" s="12"/>
      <c r="J113" s="12"/>
      <c r="K113" s="14"/>
    </row>
    <row r="114" spans="1:11">
      <c r="A114" s="8">
        <v>45975</v>
      </c>
      <c r="B114" s="12">
        <v>992</v>
      </c>
      <c r="C114" s="13" t="s">
        <v>15</v>
      </c>
      <c r="D114" s="12">
        <v>174</v>
      </c>
      <c r="E114" s="12">
        <v>174</v>
      </c>
      <c r="F114" s="12"/>
      <c r="G114" s="12"/>
      <c r="H114" s="12" t="s">
        <v>10</v>
      </c>
      <c r="I114" s="12"/>
      <c r="J114" s="12"/>
      <c r="K114" s="14"/>
    </row>
    <row r="115" spans="1:11">
      <c r="A115" s="8">
        <v>45975</v>
      </c>
      <c r="B115" s="12">
        <v>991</v>
      </c>
      <c r="C115" s="13" t="s">
        <v>27</v>
      </c>
      <c r="D115" s="12">
        <v>128</v>
      </c>
      <c r="E115" s="12">
        <v>128</v>
      </c>
      <c r="F115" s="12"/>
      <c r="G115" s="12"/>
      <c r="H115" s="12" t="s">
        <v>10</v>
      </c>
      <c r="I115" s="12"/>
      <c r="J115" s="12"/>
      <c r="K115" s="14"/>
    </row>
    <row r="116" spans="1:11">
      <c r="A116" s="8">
        <v>45975</v>
      </c>
      <c r="B116" s="12">
        <v>987</v>
      </c>
      <c r="C116" s="13" t="s">
        <v>16</v>
      </c>
      <c r="D116" s="12">
        <v>148</v>
      </c>
      <c r="E116" s="12">
        <v>148</v>
      </c>
      <c r="F116" s="12"/>
      <c r="G116" s="12"/>
      <c r="H116" s="12" t="s">
        <v>10</v>
      </c>
      <c r="I116" s="12"/>
      <c r="J116" s="12"/>
      <c r="K116" s="14"/>
    </row>
    <row r="117" spans="1:11">
      <c r="A117" s="8">
        <v>45975</v>
      </c>
      <c r="B117" s="12">
        <v>8839</v>
      </c>
      <c r="C117" s="13" t="s">
        <v>20</v>
      </c>
      <c r="D117" s="12">
        <v>356</v>
      </c>
      <c r="E117" s="12">
        <v>356</v>
      </c>
      <c r="F117" s="12"/>
      <c r="G117" s="12"/>
      <c r="H117" s="12" t="s">
        <v>10</v>
      </c>
      <c r="I117" s="12"/>
      <c r="J117" s="12"/>
      <c r="K117" s="14"/>
    </row>
    <row r="118" spans="1:11">
      <c r="A118" s="8">
        <v>45975</v>
      </c>
      <c r="B118" s="12">
        <v>965</v>
      </c>
      <c r="C118" s="13" t="s">
        <v>28</v>
      </c>
      <c r="D118" s="12">
        <v>172</v>
      </c>
      <c r="E118" s="12">
        <v>172</v>
      </c>
      <c r="F118" s="12"/>
      <c r="G118" s="12"/>
      <c r="H118" s="12" t="s">
        <v>10</v>
      </c>
      <c r="I118" s="12"/>
      <c r="J118" s="12"/>
      <c r="K118" s="14"/>
    </row>
    <row r="119" spans="1:11">
      <c r="A119" s="8">
        <v>45976</v>
      </c>
      <c r="B119" s="12">
        <v>6639</v>
      </c>
      <c r="C119" s="13" t="s">
        <v>9</v>
      </c>
      <c r="D119" s="12">
        <v>410</v>
      </c>
      <c r="E119" s="12">
        <v>410</v>
      </c>
      <c r="F119" s="12"/>
      <c r="G119" s="12"/>
      <c r="H119" s="12" t="s">
        <v>10</v>
      </c>
      <c r="I119" s="12">
        <f>SUM(E119:E126)</f>
        <v>1836</v>
      </c>
      <c r="J119" s="12"/>
      <c r="K119" s="14"/>
    </row>
    <row r="120" spans="1:11">
      <c r="A120" s="8">
        <v>45976</v>
      </c>
      <c r="B120" s="12">
        <v>910</v>
      </c>
      <c r="C120" s="13" t="s">
        <v>22</v>
      </c>
      <c r="D120" s="12">
        <v>16</v>
      </c>
      <c r="E120" s="12">
        <v>16</v>
      </c>
      <c r="F120" s="12"/>
      <c r="G120" s="12"/>
      <c r="H120" s="12" t="s">
        <v>10</v>
      </c>
      <c r="I120" s="12"/>
      <c r="J120" s="12"/>
      <c r="K120" s="14"/>
    </row>
    <row r="121" spans="1:11">
      <c r="A121" s="8">
        <v>45976</v>
      </c>
      <c r="B121" s="12">
        <v>625</v>
      </c>
      <c r="C121" s="13" t="s">
        <v>12</v>
      </c>
      <c r="D121" s="12">
        <v>410</v>
      </c>
      <c r="E121" s="12">
        <v>410</v>
      </c>
      <c r="F121" s="12"/>
      <c r="G121" s="12"/>
      <c r="H121" s="12" t="s">
        <v>10</v>
      </c>
      <c r="I121" s="12"/>
      <c r="J121" s="12"/>
      <c r="K121" s="14"/>
    </row>
    <row r="122" spans="1:11">
      <c r="A122" s="8">
        <v>45976</v>
      </c>
      <c r="B122" s="12">
        <v>992</v>
      </c>
      <c r="C122" s="13" t="s">
        <v>15</v>
      </c>
      <c r="D122" s="12">
        <v>276</v>
      </c>
      <c r="E122" s="12">
        <v>276</v>
      </c>
      <c r="F122" s="12"/>
      <c r="G122" s="12"/>
      <c r="H122" s="12" t="s">
        <v>10</v>
      </c>
      <c r="I122" s="12"/>
      <c r="J122" s="12"/>
      <c r="K122" s="14"/>
    </row>
    <row r="123" spans="1:11">
      <c r="A123" s="8">
        <v>45976</v>
      </c>
      <c r="B123" s="12">
        <v>967</v>
      </c>
      <c r="C123" s="13" t="s">
        <v>72</v>
      </c>
      <c r="D123" s="12">
        <v>184</v>
      </c>
      <c r="E123" s="12">
        <v>184</v>
      </c>
      <c r="F123" s="12"/>
      <c r="G123" s="12"/>
      <c r="H123" s="12" t="s">
        <v>10</v>
      </c>
      <c r="I123" s="12"/>
      <c r="J123" s="12"/>
      <c r="K123" s="14"/>
    </row>
    <row r="124" spans="1:11">
      <c r="A124" s="8">
        <v>45976</v>
      </c>
      <c r="B124" s="12">
        <v>963</v>
      </c>
      <c r="C124" s="13" t="s">
        <v>18</v>
      </c>
      <c r="D124" s="12">
        <v>160</v>
      </c>
      <c r="E124" s="12">
        <v>160</v>
      </c>
      <c r="F124" s="12"/>
      <c r="G124" s="12"/>
      <c r="H124" s="12" t="s">
        <v>10</v>
      </c>
      <c r="I124" s="12"/>
      <c r="J124" s="12"/>
      <c r="K124" s="14"/>
    </row>
    <row r="125" spans="1:11">
      <c r="A125" s="8">
        <v>45976</v>
      </c>
      <c r="B125" s="12">
        <v>1861</v>
      </c>
      <c r="C125" s="13" t="s">
        <v>14</v>
      </c>
      <c r="D125" s="12">
        <v>372</v>
      </c>
      <c r="E125" s="12">
        <v>372</v>
      </c>
      <c r="F125" s="12"/>
      <c r="G125" s="12"/>
      <c r="H125" s="12" t="s">
        <v>10</v>
      </c>
      <c r="I125" s="12"/>
      <c r="J125" s="12"/>
      <c r="K125" s="14"/>
    </row>
    <row r="126" spans="1:11">
      <c r="A126" s="8">
        <v>45976</v>
      </c>
      <c r="B126" s="12">
        <v>9632</v>
      </c>
      <c r="C126" s="13" t="s">
        <v>75</v>
      </c>
      <c r="D126" s="12">
        <v>8</v>
      </c>
      <c r="E126" s="12">
        <v>8</v>
      </c>
      <c r="F126" s="12"/>
      <c r="G126" s="12"/>
      <c r="H126" s="12" t="s">
        <v>10</v>
      </c>
      <c r="I126" s="12"/>
      <c r="J126" s="12"/>
      <c r="K126" s="14"/>
    </row>
    <row r="127" spans="1:11">
      <c r="A127" s="8">
        <v>45977</v>
      </c>
      <c r="B127" s="12">
        <v>963</v>
      </c>
      <c r="C127" s="13" t="s">
        <v>18</v>
      </c>
      <c r="D127" s="12">
        <v>224</v>
      </c>
      <c r="E127" s="12">
        <v>224</v>
      </c>
      <c r="F127" s="12"/>
      <c r="G127" s="12"/>
      <c r="H127" s="12" t="s">
        <v>10</v>
      </c>
      <c r="I127" s="12">
        <f>SUM(E127:E138)</f>
        <v>1953</v>
      </c>
      <c r="J127" s="12"/>
      <c r="K127" s="14"/>
    </row>
    <row r="128" spans="1:11">
      <c r="A128" s="8">
        <v>45977</v>
      </c>
      <c r="B128" s="12">
        <v>985</v>
      </c>
      <c r="C128" s="13" t="s">
        <v>26</v>
      </c>
      <c r="D128" s="12">
        <v>190</v>
      </c>
      <c r="E128" s="12">
        <v>190</v>
      </c>
      <c r="F128" s="12"/>
      <c r="G128" s="12"/>
      <c r="H128" s="12" t="s">
        <v>10</v>
      </c>
      <c r="I128" s="12"/>
      <c r="J128" s="12"/>
      <c r="K128" s="14"/>
    </row>
    <row r="129" spans="1:11">
      <c r="A129" s="8">
        <v>45977</v>
      </c>
      <c r="B129" s="12">
        <v>987</v>
      </c>
      <c r="C129" s="13" t="s">
        <v>16</v>
      </c>
      <c r="D129" s="12">
        <v>227</v>
      </c>
      <c r="E129" s="12">
        <v>227</v>
      </c>
      <c r="F129" s="12"/>
      <c r="G129" s="12"/>
      <c r="H129" s="12" t="s">
        <v>10</v>
      </c>
      <c r="I129" s="12"/>
      <c r="J129" s="12"/>
      <c r="K129" s="14"/>
    </row>
    <row r="130" spans="1:11">
      <c r="A130" s="8">
        <v>45977</v>
      </c>
      <c r="B130" s="12">
        <v>978</v>
      </c>
      <c r="C130" s="13" t="s">
        <v>25</v>
      </c>
      <c r="D130" s="12">
        <v>115</v>
      </c>
      <c r="E130" s="12">
        <v>115</v>
      </c>
      <c r="F130" s="12"/>
      <c r="G130" s="12"/>
      <c r="H130" s="12" t="s">
        <v>10</v>
      </c>
      <c r="I130" s="12"/>
      <c r="J130" s="12"/>
      <c r="K130" s="14"/>
    </row>
    <row r="131" spans="1:11">
      <c r="A131" s="8">
        <v>45977</v>
      </c>
      <c r="B131" s="12">
        <v>962</v>
      </c>
      <c r="C131" s="13" t="s">
        <v>19</v>
      </c>
      <c r="D131" s="12">
        <v>236</v>
      </c>
      <c r="E131" s="12">
        <v>236</v>
      </c>
      <c r="F131" s="12"/>
      <c r="G131" s="12"/>
      <c r="H131" s="12" t="s">
        <v>10</v>
      </c>
      <c r="I131" s="12"/>
      <c r="J131" s="12"/>
      <c r="K131" s="14"/>
    </row>
    <row r="132" spans="1:11">
      <c r="A132" s="8">
        <v>45977</v>
      </c>
      <c r="B132" s="12">
        <v>965</v>
      </c>
      <c r="C132" s="13" t="s">
        <v>28</v>
      </c>
      <c r="D132" s="12">
        <v>140</v>
      </c>
      <c r="E132" s="12">
        <v>140</v>
      </c>
      <c r="F132" s="12"/>
      <c r="G132" s="12"/>
      <c r="H132" s="12" t="s">
        <v>10</v>
      </c>
      <c r="I132" s="12"/>
      <c r="J132" s="12"/>
      <c r="K132" s="14"/>
    </row>
    <row r="133" spans="1:11">
      <c r="A133" s="8">
        <v>45977</v>
      </c>
      <c r="B133" s="12">
        <v>988</v>
      </c>
      <c r="C133" s="13" t="s">
        <v>17</v>
      </c>
      <c r="D133" s="12">
        <v>114</v>
      </c>
      <c r="E133" s="12">
        <v>114</v>
      </c>
      <c r="F133" s="12"/>
      <c r="G133" s="12"/>
      <c r="H133" s="12" t="s">
        <v>10</v>
      </c>
      <c r="I133" s="12"/>
      <c r="J133" s="12"/>
      <c r="K133" s="14"/>
    </row>
    <row r="134" spans="1:11">
      <c r="A134" s="8">
        <v>45977</v>
      </c>
      <c r="B134" s="12">
        <v>985</v>
      </c>
      <c r="C134" s="13" t="s">
        <v>26</v>
      </c>
      <c r="D134" s="12">
        <v>60</v>
      </c>
      <c r="E134" s="12">
        <v>60</v>
      </c>
      <c r="F134" s="12"/>
      <c r="G134" s="12"/>
      <c r="H134" s="12" t="s">
        <v>10</v>
      </c>
      <c r="I134" s="12"/>
      <c r="J134" s="12"/>
      <c r="K134" s="14"/>
    </row>
    <row r="135" spans="1:11">
      <c r="A135" s="8">
        <v>45977</v>
      </c>
      <c r="B135" s="12">
        <v>987</v>
      </c>
      <c r="C135" s="13" t="s">
        <v>16</v>
      </c>
      <c r="D135" s="12">
        <v>51</v>
      </c>
      <c r="E135" s="12">
        <v>51</v>
      </c>
      <c r="F135" s="12"/>
      <c r="G135" s="12"/>
      <c r="H135" s="12" t="s">
        <v>10</v>
      </c>
      <c r="I135" s="12"/>
      <c r="J135" s="12"/>
      <c r="K135" s="14"/>
    </row>
    <row r="136" spans="1:11">
      <c r="A136" s="8">
        <v>45977</v>
      </c>
      <c r="B136" s="12">
        <v>625</v>
      </c>
      <c r="C136" s="13" t="s">
        <v>12</v>
      </c>
      <c r="D136" s="12">
        <v>276</v>
      </c>
      <c r="E136" s="12">
        <v>276</v>
      </c>
      <c r="F136" s="12"/>
      <c r="G136" s="12"/>
      <c r="H136" s="12" t="s">
        <v>10</v>
      </c>
      <c r="I136" s="12"/>
      <c r="J136" s="12"/>
      <c r="K136" s="14"/>
    </row>
    <row r="137" spans="1:11">
      <c r="A137" s="8">
        <v>45977</v>
      </c>
      <c r="B137" s="12">
        <v>632</v>
      </c>
      <c r="C137" s="13" t="s">
        <v>29</v>
      </c>
      <c r="D137" s="12">
        <v>196</v>
      </c>
      <c r="E137" s="12">
        <v>196</v>
      </c>
      <c r="F137" s="12"/>
      <c r="G137" s="12"/>
      <c r="H137" s="12" t="s">
        <v>10</v>
      </c>
      <c r="I137" s="12"/>
      <c r="J137" s="12"/>
      <c r="K137" s="14"/>
    </row>
    <row r="138" spans="1:11">
      <c r="A138" s="8">
        <v>45977</v>
      </c>
      <c r="B138" s="12">
        <v>910</v>
      </c>
      <c r="C138" s="13" t="s">
        <v>22</v>
      </c>
      <c r="D138" s="12">
        <v>124</v>
      </c>
      <c r="E138" s="12">
        <v>124</v>
      </c>
      <c r="F138" s="12"/>
      <c r="G138" s="12"/>
      <c r="H138" s="12" t="s">
        <v>10</v>
      </c>
      <c r="I138" s="12"/>
      <c r="J138" s="12"/>
      <c r="K138" s="14"/>
    </row>
    <row r="139" spans="1:11">
      <c r="A139" s="8">
        <v>45978</v>
      </c>
      <c r="B139" s="12">
        <v>909</v>
      </c>
      <c r="C139" s="13" t="s">
        <v>11</v>
      </c>
      <c r="D139" s="12">
        <v>326</v>
      </c>
      <c r="E139" s="12">
        <v>326</v>
      </c>
      <c r="F139" s="12"/>
      <c r="G139" s="12"/>
      <c r="H139" s="12" t="s">
        <v>10</v>
      </c>
      <c r="I139" s="12">
        <f>SUM(E139:E144)</f>
        <v>1287</v>
      </c>
      <c r="J139" s="12"/>
      <c r="K139" s="14"/>
    </row>
    <row r="140" spans="1:11">
      <c r="A140" s="8">
        <v>45978</v>
      </c>
      <c r="B140" s="12">
        <v>908</v>
      </c>
      <c r="C140" s="13" t="s">
        <v>23</v>
      </c>
      <c r="D140" s="12">
        <v>163</v>
      </c>
      <c r="E140" s="12">
        <v>163</v>
      </c>
      <c r="F140" s="12"/>
      <c r="G140" s="12"/>
      <c r="H140" s="12" t="s">
        <v>10</v>
      </c>
      <c r="I140" s="12"/>
      <c r="J140" s="12"/>
      <c r="K140" s="14"/>
    </row>
    <row r="141" spans="1:11">
      <c r="A141" s="8">
        <v>45978</v>
      </c>
      <c r="B141" s="12">
        <v>659</v>
      </c>
      <c r="C141" s="13" t="s">
        <v>21</v>
      </c>
      <c r="D141" s="12">
        <v>45</v>
      </c>
      <c r="E141" s="12">
        <v>45</v>
      </c>
      <c r="F141" s="12"/>
      <c r="G141" s="12"/>
      <c r="H141" s="12" t="s">
        <v>10</v>
      </c>
      <c r="I141" s="12"/>
      <c r="J141" s="12"/>
      <c r="K141" s="14"/>
    </row>
    <row r="142" spans="1:11">
      <c r="A142" s="8">
        <v>45978</v>
      </c>
      <c r="B142" s="12">
        <v>6639</v>
      </c>
      <c r="C142" s="13" t="s">
        <v>9</v>
      </c>
      <c r="D142" s="12">
        <v>564</v>
      </c>
      <c r="E142" s="12">
        <v>564</v>
      </c>
      <c r="F142" s="12"/>
      <c r="G142" s="12"/>
      <c r="H142" s="12" t="s">
        <v>10</v>
      </c>
      <c r="I142" s="12"/>
      <c r="J142" s="12"/>
      <c r="K142" s="14"/>
    </row>
    <row r="143" spans="1:11">
      <c r="A143" s="8">
        <v>45978</v>
      </c>
      <c r="B143" s="12">
        <v>653</v>
      </c>
      <c r="C143" s="13" t="s">
        <v>74</v>
      </c>
      <c r="D143" s="12">
        <v>111</v>
      </c>
      <c r="E143" s="12">
        <v>111</v>
      </c>
      <c r="F143" s="12"/>
      <c r="G143" s="12"/>
      <c r="H143" s="12" t="s">
        <v>10</v>
      </c>
      <c r="I143" s="12"/>
      <c r="J143" s="12"/>
      <c r="K143" s="14"/>
    </row>
    <row r="144" spans="1:11">
      <c r="A144" s="8">
        <v>45978</v>
      </c>
      <c r="B144" s="12">
        <v>627</v>
      </c>
      <c r="C144" s="13" t="s">
        <v>71</v>
      </c>
      <c r="D144" s="12">
        <v>78</v>
      </c>
      <c r="E144" s="12">
        <v>78</v>
      </c>
      <c r="F144" s="12"/>
      <c r="G144" s="12"/>
      <c r="H144" s="12" t="s">
        <v>10</v>
      </c>
      <c r="I144" s="12"/>
      <c r="J144" s="12"/>
      <c r="K144" s="14"/>
    </row>
    <row r="145" spans="1:11">
      <c r="A145" s="8">
        <v>45979</v>
      </c>
      <c r="B145" s="12">
        <v>987</v>
      </c>
      <c r="C145" s="13" t="s">
        <v>16</v>
      </c>
      <c r="D145" s="12">
        <v>302</v>
      </c>
      <c r="E145" s="12">
        <v>302</v>
      </c>
      <c r="F145" s="12"/>
      <c r="G145" s="12"/>
      <c r="H145" s="12" t="s">
        <v>10</v>
      </c>
      <c r="I145" s="12">
        <f>SUM(E145:E158)</f>
        <v>3205</v>
      </c>
      <c r="J145" s="12"/>
      <c r="K145" s="14"/>
    </row>
    <row r="146" spans="1:11">
      <c r="A146" s="8">
        <v>45979</v>
      </c>
      <c r="B146" s="12">
        <v>978</v>
      </c>
      <c r="C146" s="13" t="s">
        <v>25</v>
      </c>
      <c r="D146" s="12">
        <v>196</v>
      </c>
      <c r="E146" s="12">
        <v>196</v>
      </c>
      <c r="F146" s="12"/>
      <c r="G146" s="12"/>
      <c r="H146" s="12" t="s">
        <v>10</v>
      </c>
      <c r="I146" s="12"/>
      <c r="J146" s="12"/>
      <c r="K146" s="14"/>
    </row>
    <row r="147" spans="1:11">
      <c r="A147" s="8">
        <v>45979</v>
      </c>
      <c r="B147" s="12">
        <v>991</v>
      </c>
      <c r="C147" s="13" t="s">
        <v>27</v>
      </c>
      <c r="D147" s="12">
        <v>180</v>
      </c>
      <c r="E147" s="12">
        <v>180</v>
      </c>
      <c r="F147" s="12"/>
      <c r="G147" s="12"/>
      <c r="H147" s="12" t="s">
        <v>10</v>
      </c>
      <c r="I147" s="12"/>
      <c r="J147" s="12"/>
      <c r="K147" s="14"/>
    </row>
    <row r="148" spans="1:11">
      <c r="A148" s="8">
        <v>45979</v>
      </c>
      <c r="B148" s="12">
        <v>992</v>
      </c>
      <c r="C148" s="13" t="s">
        <v>15</v>
      </c>
      <c r="D148" s="12">
        <v>102</v>
      </c>
      <c r="E148" s="12">
        <v>102</v>
      </c>
      <c r="F148" s="12"/>
      <c r="G148" s="12"/>
      <c r="H148" s="12" t="s">
        <v>10</v>
      </c>
      <c r="I148" s="12"/>
      <c r="J148" s="12"/>
      <c r="K148" s="14"/>
    </row>
    <row r="149" spans="1:11">
      <c r="A149" s="8">
        <v>45979</v>
      </c>
      <c r="B149" s="12">
        <v>988</v>
      </c>
      <c r="C149" s="13" t="s">
        <v>17</v>
      </c>
      <c r="D149" s="12">
        <v>129</v>
      </c>
      <c r="E149" s="12">
        <v>129</v>
      </c>
      <c r="F149" s="12"/>
      <c r="G149" s="12"/>
      <c r="H149" s="12" t="s">
        <v>10</v>
      </c>
      <c r="I149" s="12"/>
      <c r="J149" s="12"/>
      <c r="K149" s="14"/>
    </row>
    <row r="150" spans="1:11">
      <c r="A150" s="8">
        <v>45979</v>
      </c>
      <c r="B150" s="12">
        <v>909</v>
      </c>
      <c r="C150" s="13" t="s">
        <v>11</v>
      </c>
      <c r="D150" s="12">
        <v>321</v>
      </c>
      <c r="E150" s="12">
        <v>321</v>
      </c>
      <c r="F150" s="12"/>
      <c r="G150" s="12"/>
      <c r="H150" s="12" t="s">
        <v>10</v>
      </c>
      <c r="I150" s="12"/>
      <c r="J150" s="12"/>
      <c r="K150" s="14"/>
    </row>
    <row r="151" spans="1:11">
      <c r="A151" s="8">
        <v>45979</v>
      </c>
      <c r="B151" s="12">
        <v>908</v>
      </c>
      <c r="C151" s="13" t="s">
        <v>23</v>
      </c>
      <c r="D151" s="12">
        <v>213</v>
      </c>
      <c r="E151" s="12">
        <v>213</v>
      </c>
      <c r="F151" s="12"/>
      <c r="G151" s="12"/>
      <c r="H151" s="12" t="s">
        <v>10</v>
      </c>
      <c r="I151" s="12"/>
      <c r="J151" s="12"/>
      <c r="K151" s="14"/>
    </row>
    <row r="152" spans="1:11">
      <c r="A152" s="8">
        <v>45979</v>
      </c>
      <c r="B152" s="12">
        <v>659</v>
      </c>
      <c r="C152" s="13" t="s">
        <v>21</v>
      </c>
      <c r="D152" s="12">
        <v>220</v>
      </c>
      <c r="E152" s="12">
        <v>220</v>
      </c>
      <c r="F152" s="12"/>
      <c r="G152" s="12"/>
      <c r="H152" s="12" t="s">
        <v>10</v>
      </c>
      <c r="I152" s="12"/>
      <c r="J152" s="12"/>
      <c r="K152" s="14"/>
    </row>
    <row r="153" spans="1:11">
      <c r="A153" s="8">
        <v>45979</v>
      </c>
      <c r="B153" s="12">
        <v>625</v>
      </c>
      <c r="C153" s="13" t="s">
        <v>12</v>
      </c>
      <c r="D153" s="12">
        <v>312</v>
      </c>
      <c r="E153" s="12">
        <v>312</v>
      </c>
      <c r="F153" s="12"/>
      <c r="G153" s="12"/>
      <c r="H153" s="12" t="s">
        <v>10</v>
      </c>
      <c r="I153" s="12"/>
      <c r="J153" s="12"/>
      <c r="K153" s="14"/>
    </row>
    <row r="154" spans="1:11">
      <c r="A154" s="8">
        <v>45979</v>
      </c>
      <c r="B154" s="12">
        <v>632</v>
      </c>
      <c r="C154" s="13" t="s">
        <v>29</v>
      </c>
      <c r="D154" s="12">
        <v>248</v>
      </c>
      <c r="E154" s="12">
        <v>248</v>
      </c>
      <c r="F154" s="12"/>
      <c r="G154" s="12"/>
      <c r="H154" s="12" t="s">
        <v>10</v>
      </c>
      <c r="I154" s="12"/>
      <c r="J154" s="12"/>
      <c r="K154" s="14"/>
    </row>
    <row r="155" spans="1:11">
      <c r="A155" s="8">
        <v>45979</v>
      </c>
      <c r="B155" s="12">
        <v>987</v>
      </c>
      <c r="C155" s="13" t="s">
        <v>16</v>
      </c>
      <c r="D155" s="12">
        <v>119</v>
      </c>
      <c r="E155" s="12">
        <v>119</v>
      </c>
      <c r="F155" s="12"/>
      <c r="G155" s="12"/>
      <c r="H155" s="12" t="s">
        <v>10</v>
      </c>
      <c r="I155" s="12"/>
      <c r="J155" s="12"/>
      <c r="K155" s="14"/>
    </row>
    <row r="156" spans="1:11">
      <c r="A156" s="8">
        <v>45979</v>
      </c>
      <c r="B156" s="12">
        <v>978</v>
      </c>
      <c r="C156" s="13" t="s">
        <v>25</v>
      </c>
      <c r="D156" s="12">
        <v>53</v>
      </c>
      <c r="E156" s="12">
        <v>53</v>
      </c>
      <c r="F156" s="12"/>
      <c r="G156" s="12"/>
      <c r="H156" s="12" t="s">
        <v>10</v>
      </c>
      <c r="I156" s="12"/>
      <c r="J156" s="12"/>
      <c r="K156" s="14"/>
    </row>
    <row r="157" spans="1:11">
      <c r="A157" s="8">
        <v>45979</v>
      </c>
      <c r="B157" s="12">
        <v>661</v>
      </c>
      <c r="C157" s="13" t="s">
        <v>30</v>
      </c>
      <c r="D157" s="12">
        <v>348</v>
      </c>
      <c r="E157" s="12">
        <v>348</v>
      </c>
      <c r="F157" s="12"/>
      <c r="G157" s="12"/>
      <c r="H157" s="12" t="s">
        <v>10</v>
      </c>
      <c r="I157" s="12"/>
      <c r="J157" s="12"/>
      <c r="K157" s="14"/>
    </row>
    <row r="158" spans="1:11">
      <c r="A158" s="8">
        <v>45979</v>
      </c>
      <c r="B158" s="12">
        <v>6639</v>
      </c>
      <c r="C158" s="13" t="s">
        <v>9</v>
      </c>
      <c r="D158" s="12">
        <v>462</v>
      </c>
      <c r="E158" s="12">
        <v>462</v>
      </c>
      <c r="F158" s="12"/>
      <c r="G158" s="12"/>
      <c r="H158" s="12" t="s">
        <v>10</v>
      </c>
      <c r="I158" s="12"/>
      <c r="J158" s="12"/>
      <c r="K158" s="14"/>
    </row>
    <row r="159" spans="1:11">
      <c r="A159" s="8">
        <v>45980</v>
      </c>
      <c r="B159" s="12">
        <v>963</v>
      </c>
      <c r="C159" s="13" t="s">
        <v>18</v>
      </c>
      <c r="D159" s="12">
        <v>94</v>
      </c>
      <c r="E159" s="12">
        <v>94</v>
      </c>
      <c r="F159" s="12"/>
      <c r="G159" s="12"/>
      <c r="H159" s="12" t="s">
        <v>10</v>
      </c>
      <c r="I159" s="12">
        <f>SUM(E159:E169)</f>
        <v>1905</v>
      </c>
      <c r="J159" s="12"/>
      <c r="K159" s="14"/>
    </row>
    <row r="160" spans="1:11">
      <c r="A160" s="8">
        <v>45980</v>
      </c>
      <c r="B160" s="12">
        <v>985</v>
      </c>
      <c r="C160" s="13" t="s">
        <v>26</v>
      </c>
      <c r="D160" s="12">
        <v>130</v>
      </c>
      <c r="E160" s="12">
        <v>130</v>
      </c>
      <c r="F160" s="12"/>
      <c r="G160" s="12"/>
      <c r="H160" s="12" t="s">
        <v>10</v>
      </c>
      <c r="I160" s="12"/>
      <c r="J160" s="12"/>
      <c r="K160" s="14"/>
    </row>
    <row r="161" spans="1:11">
      <c r="A161" s="8">
        <v>45980</v>
      </c>
      <c r="B161" s="12">
        <v>988</v>
      </c>
      <c r="C161" s="13" t="s">
        <v>17</v>
      </c>
      <c r="D161" s="12">
        <v>164</v>
      </c>
      <c r="E161" s="12">
        <v>164</v>
      </c>
      <c r="F161" s="12"/>
      <c r="G161" s="12"/>
      <c r="H161" s="12" t="s">
        <v>10</v>
      </c>
      <c r="I161" s="12"/>
      <c r="J161" s="12"/>
      <c r="K161" s="14"/>
    </row>
    <row r="162" spans="1:11">
      <c r="A162" s="8">
        <v>45980</v>
      </c>
      <c r="B162" s="12">
        <v>967</v>
      </c>
      <c r="C162" s="13" t="s">
        <v>72</v>
      </c>
      <c r="D162" s="12">
        <v>120</v>
      </c>
      <c r="E162" s="12">
        <v>120</v>
      </c>
      <c r="F162" s="12"/>
      <c r="G162" s="12"/>
      <c r="H162" s="12" t="s">
        <v>10</v>
      </c>
      <c r="I162" s="12"/>
      <c r="J162" s="12"/>
      <c r="K162" s="14"/>
    </row>
    <row r="163" spans="1:11">
      <c r="A163" s="8">
        <v>45980</v>
      </c>
      <c r="B163" s="12">
        <v>992</v>
      </c>
      <c r="C163" s="13" t="s">
        <v>15</v>
      </c>
      <c r="D163" s="12">
        <v>188</v>
      </c>
      <c r="E163" s="12">
        <v>188</v>
      </c>
      <c r="F163" s="12"/>
      <c r="G163" s="12"/>
      <c r="H163" s="12" t="s">
        <v>10</v>
      </c>
      <c r="I163" s="12"/>
      <c r="J163" s="12"/>
      <c r="K163" s="14"/>
    </row>
    <row r="164" spans="1:11">
      <c r="A164" s="8">
        <v>45980</v>
      </c>
      <c r="B164" s="12">
        <v>991</v>
      </c>
      <c r="C164" s="13" t="s">
        <v>27</v>
      </c>
      <c r="D164" s="12">
        <v>180</v>
      </c>
      <c r="E164" s="12">
        <v>180</v>
      </c>
      <c r="F164" s="12"/>
      <c r="G164" s="12"/>
      <c r="H164" s="12" t="s">
        <v>10</v>
      </c>
      <c r="I164" s="12"/>
      <c r="J164" s="12"/>
      <c r="K164" s="14"/>
    </row>
    <row r="165" spans="1:11">
      <c r="A165" s="8">
        <v>45980</v>
      </c>
      <c r="B165" s="12">
        <v>965</v>
      </c>
      <c r="C165" s="13" t="s">
        <v>28</v>
      </c>
      <c r="D165" s="12">
        <v>224</v>
      </c>
      <c r="E165" s="12">
        <v>224</v>
      </c>
      <c r="F165" s="12"/>
      <c r="G165" s="12"/>
      <c r="H165" s="12" t="s">
        <v>10</v>
      </c>
      <c r="I165" s="12"/>
      <c r="J165" s="12"/>
      <c r="K165" s="14"/>
    </row>
    <row r="166" spans="1:11">
      <c r="A166" s="8">
        <v>45980</v>
      </c>
      <c r="B166" s="12">
        <v>987</v>
      </c>
      <c r="C166" s="13" t="s">
        <v>16</v>
      </c>
      <c r="D166" s="12">
        <v>200</v>
      </c>
      <c r="E166" s="12">
        <v>200</v>
      </c>
      <c r="F166" s="12"/>
      <c r="G166" s="12"/>
      <c r="H166" s="12" t="s">
        <v>10</v>
      </c>
      <c r="I166" s="12"/>
      <c r="J166" s="12"/>
      <c r="K166" s="14"/>
    </row>
    <row r="167" spans="1:11">
      <c r="A167" s="8">
        <v>45980</v>
      </c>
      <c r="B167" s="12">
        <v>1861</v>
      </c>
      <c r="C167" s="13" t="s">
        <v>14</v>
      </c>
      <c r="D167" s="12">
        <v>189</v>
      </c>
      <c r="E167" s="12">
        <v>189</v>
      </c>
      <c r="F167" s="12"/>
      <c r="G167" s="12"/>
      <c r="H167" s="12" t="s">
        <v>10</v>
      </c>
      <c r="I167" s="12"/>
      <c r="J167" s="12"/>
      <c r="K167" s="14"/>
    </row>
    <row r="168" spans="1:11">
      <c r="A168" s="8">
        <v>45980</v>
      </c>
      <c r="B168" s="12">
        <v>632</v>
      </c>
      <c r="C168" s="13" t="s">
        <v>29</v>
      </c>
      <c r="D168" s="12">
        <v>412</v>
      </c>
      <c r="E168" s="12">
        <v>412</v>
      </c>
      <c r="F168" s="12"/>
      <c r="G168" s="12"/>
      <c r="H168" s="12" t="s">
        <v>10</v>
      </c>
      <c r="I168" s="12"/>
      <c r="J168" s="12"/>
      <c r="K168" s="14"/>
    </row>
    <row r="169" spans="1:11">
      <c r="A169" s="8">
        <v>45980</v>
      </c>
      <c r="B169" s="12">
        <v>659</v>
      </c>
      <c r="C169" s="13" t="s">
        <v>21</v>
      </c>
      <c r="D169" s="12">
        <v>4</v>
      </c>
      <c r="E169" s="12">
        <v>4</v>
      </c>
      <c r="F169" s="12"/>
      <c r="G169" s="12"/>
      <c r="H169" s="12" t="s">
        <v>10</v>
      </c>
      <c r="I169" s="12"/>
      <c r="J169" s="12"/>
      <c r="K169" s="14"/>
    </row>
    <row r="170" spans="1:11">
      <c r="A170" s="8">
        <v>45981</v>
      </c>
      <c r="B170" s="12">
        <v>909</v>
      </c>
      <c r="C170" s="13" t="s">
        <v>11</v>
      </c>
      <c r="D170" s="12">
        <v>291</v>
      </c>
      <c r="E170" s="12">
        <v>291</v>
      </c>
      <c r="F170" s="12"/>
      <c r="G170" s="12"/>
      <c r="H170" s="12" t="s">
        <v>10</v>
      </c>
      <c r="I170" s="12">
        <f>SUM(E170:E180)</f>
        <v>2038</v>
      </c>
      <c r="J170" s="12"/>
      <c r="K170" s="14"/>
    </row>
    <row r="171" spans="1:11">
      <c r="A171" s="8">
        <v>45981</v>
      </c>
      <c r="B171" s="12">
        <v>659</v>
      </c>
      <c r="C171" s="13" t="s">
        <v>21</v>
      </c>
      <c r="D171" s="12">
        <v>147</v>
      </c>
      <c r="E171" s="12">
        <v>147</v>
      </c>
      <c r="F171" s="12"/>
      <c r="G171" s="12"/>
      <c r="H171" s="12" t="s">
        <v>10</v>
      </c>
      <c r="I171" s="12"/>
      <c r="J171" s="12"/>
      <c r="K171" s="14"/>
    </row>
    <row r="172" spans="1:11">
      <c r="A172" s="8">
        <v>45981</v>
      </c>
      <c r="B172" s="12">
        <v>625</v>
      </c>
      <c r="C172" s="13" t="s">
        <v>12</v>
      </c>
      <c r="D172" s="12">
        <v>248</v>
      </c>
      <c r="E172" s="12">
        <v>248</v>
      </c>
      <c r="F172" s="12"/>
      <c r="G172" s="12"/>
      <c r="H172" s="12" t="s">
        <v>10</v>
      </c>
      <c r="I172" s="12"/>
      <c r="J172" s="12"/>
      <c r="K172" s="14"/>
    </row>
    <row r="173" spans="1:11">
      <c r="A173" s="8">
        <v>45981</v>
      </c>
      <c r="B173" s="12">
        <v>981</v>
      </c>
      <c r="C173" s="13" t="s">
        <v>13</v>
      </c>
      <c r="D173" s="12">
        <v>104</v>
      </c>
      <c r="E173" s="12">
        <v>104</v>
      </c>
      <c r="F173" s="12"/>
      <c r="G173" s="12"/>
      <c r="H173" s="12" t="s">
        <v>10</v>
      </c>
      <c r="I173" s="12"/>
      <c r="J173" s="12"/>
      <c r="K173" s="14"/>
    </row>
    <row r="174" spans="1:11">
      <c r="A174" s="8">
        <v>45981</v>
      </c>
      <c r="B174" s="12">
        <v>8839</v>
      </c>
      <c r="C174" s="13" t="s">
        <v>20</v>
      </c>
      <c r="D174" s="12">
        <v>208</v>
      </c>
      <c r="E174" s="12">
        <v>208</v>
      </c>
      <c r="F174" s="12"/>
      <c r="G174" s="12"/>
      <c r="H174" s="12" t="s">
        <v>10</v>
      </c>
      <c r="I174" s="12"/>
      <c r="J174" s="12"/>
      <c r="K174" s="14"/>
    </row>
    <row r="175" spans="1:11">
      <c r="A175" s="8">
        <v>45981</v>
      </c>
      <c r="B175" s="12">
        <v>988</v>
      </c>
      <c r="C175" s="13" t="s">
        <v>17</v>
      </c>
      <c r="D175" s="12">
        <v>260</v>
      </c>
      <c r="E175" s="12">
        <v>260</v>
      </c>
      <c r="F175" s="12"/>
      <c r="G175" s="12"/>
      <c r="H175" s="12" t="s">
        <v>10</v>
      </c>
      <c r="I175" s="12"/>
      <c r="J175" s="12"/>
      <c r="K175" s="14"/>
    </row>
    <row r="176" spans="1:11">
      <c r="A176" s="8">
        <v>45981</v>
      </c>
      <c r="B176" s="12">
        <v>991</v>
      </c>
      <c r="C176" s="13" t="s">
        <v>27</v>
      </c>
      <c r="D176" s="12">
        <v>154</v>
      </c>
      <c r="E176" s="12">
        <v>154</v>
      </c>
      <c r="F176" s="12"/>
      <c r="G176" s="12"/>
      <c r="H176" s="12" t="s">
        <v>10</v>
      </c>
      <c r="I176" s="12"/>
      <c r="J176" s="12"/>
      <c r="K176" s="14"/>
    </row>
    <row r="177" spans="1:11">
      <c r="A177" s="8">
        <v>45981</v>
      </c>
      <c r="B177" s="12">
        <v>992</v>
      </c>
      <c r="C177" s="13" t="s">
        <v>15</v>
      </c>
      <c r="D177" s="12">
        <v>154</v>
      </c>
      <c r="E177" s="12">
        <v>154</v>
      </c>
      <c r="F177" s="12"/>
      <c r="G177" s="12"/>
      <c r="H177" s="12" t="s">
        <v>10</v>
      </c>
      <c r="I177" s="12"/>
      <c r="J177" s="12"/>
      <c r="K177" s="14"/>
    </row>
    <row r="178" spans="1:11">
      <c r="A178" s="8">
        <v>45981</v>
      </c>
      <c r="B178" s="12">
        <v>985</v>
      </c>
      <c r="C178" s="13" t="s">
        <v>26</v>
      </c>
      <c r="D178" s="12">
        <v>188</v>
      </c>
      <c r="E178" s="12">
        <v>188</v>
      </c>
      <c r="F178" s="12"/>
      <c r="G178" s="12"/>
      <c r="H178" s="12" t="s">
        <v>10</v>
      </c>
      <c r="I178" s="12"/>
      <c r="J178" s="12"/>
      <c r="K178" s="14"/>
    </row>
    <row r="179" spans="1:11">
      <c r="A179" s="8">
        <v>45981</v>
      </c>
      <c r="B179" s="12">
        <v>962</v>
      </c>
      <c r="C179" s="13" t="s">
        <v>19</v>
      </c>
      <c r="D179" s="12">
        <v>96</v>
      </c>
      <c r="E179" s="12">
        <v>96</v>
      </c>
      <c r="F179" s="12"/>
      <c r="G179" s="12"/>
      <c r="H179" s="12" t="s">
        <v>10</v>
      </c>
      <c r="I179" s="12"/>
      <c r="J179" s="12"/>
      <c r="K179" s="14"/>
    </row>
    <row r="180" spans="1:11">
      <c r="A180" s="8">
        <v>45981</v>
      </c>
      <c r="B180" s="12">
        <v>965</v>
      </c>
      <c r="C180" s="13" t="s">
        <v>28</v>
      </c>
      <c r="D180" s="12">
        <v>188</v>
      </c>
      <c r="E180" s="12">
        <v>188</v>
      </c>
      <c r="F180" s="12"/>
      <c r="G180" s="12"/>
      <c r="H180" s="12" t="s">
        <v>10</v>
      </c>
      <c r="I180" s="12"/>
      <c r="J180" s="12"/>
      <c r="K180" s="14"/>
    </row>
    <row r="181" spans="1:11">
      <c r="A181" s="8">
        <v>45982</v>
      </c>
      <c r="B181" s="12">
        <v>625</v>
      </c>
      <c r="C181" s="13" t="s">
        <v>12</v>
      </c>
      <c r="D181" s="12">
        <v>410</v>
      </c>
      <c r="E181" s="12">
        <v>410</v>
      </c>
      <c r="F181" s="12"/>
      <c r="G181" s="12"/>
      <c r="H181" s="12" t="s">
        <v>10</v>
      </c>
      <c r="I181" s="12">
        <f>SUM(E181:E193)</f>
        <v>3471</v>
      </c>
      <c r="J181" s="12"/>
      <c r="K181" s="14"/>
    </row>
    <row r="182" spans="1:11">
      <c r="A182" s="8">
        <v>45982</v>
      </c>
      <c r="B182" s="12">
        <v>6639</v>
      </c>
      <c r="C182" s="13" t="s">
        <v>9</v>
      </c>
      <c r="D182" s="12">
        <v>564</v>
      </c>
      <c r="E182" s="12">
        <v>564</v>
      </c>
      <c r="F182" s="12"/>
      <c r="G182" s="12"/>
      <c r="H182" s="12" t="s">
        <v>10</v>
      </c>
      <c r="I182" s="12"/>
      <c r="J182" s="12"/>
      <c r="K182" s="14"/>
    </row>
    <row r="183" spans="1:11">
      <c r="A183" s="8">
        <v>45982</v>
      </c>
      <c r="B183" s="12">
        <v>909</v>
      </c>
      <c r="C183" s="13" t="s">
        <v>11</v>
      </c>
      <c r="D183" s="12">
        <v>366</v>
      </c>
      <c r="E183" s="12">
        <v>366</v>
      </c>
      <c r="F183" s="12"/>
      <c r="G183" s="12"/>
      <c r="H183" s="12" t="s">
        <v>10</v>
      </c>
      <c r="I183" s="12"/>
      <c r="J183" s="12"/>
      <c r="K183" s="14"/>
    </row>
    <row r="184" spans="1:11">
      <c r="A184" s="8">
        <v>45982</v>
      </c>
      <c r="B184" s="12">
        <v>981</v>
      </c>
      <c r="C184" s="13" t="s">
        <v>13</v>
      </c>
      <c r="D184" s="12">
        <v>185</v>
      </c>
      <c r="E184" s="12">
        <v>185</v>
      </c>
      <c r="F184" s="12"/>
      <c r="G184" s="12"/>
      <c r="H184" s="12" t="s">
        <v>10</v>
      </c>
      <c r="I184" s="12"/>
      <c r="J184" s="12"/>
      <c r="K184" s="14"/>
    </row>
    <row r="185" spans="1:11">
      <c r="A185" s="8">
        <v>45982</v>
      </c>
      <c r="B185" s="12">
        <v>1861</v>
      </c>
      <c r="C185" s="13" t="s">
        <v>14</v>
      </c>
      <c r="D185" s="12">
        <v>588</v>
      </c>
      <c r="E185" s="12">
        <v>588</v>
      </c>
      <c r="F185" s="12"/>
      <c r="G185" s="12"/>
      <c r="H185" s="12" t="s">
        <v>10</v>
      </c>
      <c r="I185" s="12"/>
      <c r="J185" s="12"/>
      <c r="K185" s="14"/>
    </row>
    <row r="186" spans="1:11">
      <c r="A186" s="8">
        <v>45982</v>
      </c>
      <c r="B186" s="12">
        <v>965</v>
      </c>
      <c r="C186" s="13" t="s">
        <v>28</v>
      </c>
      <c r="D186" s="12">
        <v>228</v>
      </c>
      <c r="E186" s="12">
        <v>228</v>
      </c>
      <c r="F186" s="12"/>
      <c r="G186" s="12"/>
      <c r="H186" s="12" t="s">
        <v>10</v>
      </c>
      <c r="I186" s="12"/>
      <c r="J186" s="12"/>
      <c r="K186" s="14"/>
    </row>
    <row r="187" spans="1:11">
      <c r="A187" s="8">
        <v>45982</v>
      </c>
      <c r="B187" s="12">
        <v>962</v>
      </c>
      <c r="C187" s="13" t="s">
        <v>19</v>
      </c>
      <c r="D187" s="12">
        <v>152</v>
      </c>
      <c r="E187" s="12">
        <v>152</v>
      </c>
      <c r="F187" s="12"/>
      <c r="G187" s="12"/>
      <c r="H187" s="12" t="s">
        <v>10</v>
      </c>
      <c r="I187" s="12"/>
      <c r="J187" s="12"/>
      <c r="K187" s="14"/>
    </row>
    <row r="188" spans="1:11">
      <c r="A188" s="8">
        <v>45982</v>
      </c>
      <c r="B188" s="12">
        <v>988</v>
      </c>
      <c r="C188" s="13" t="s">
        <v>17</v>
      </c>
      <c r="D188" s="12">
        <v>148</v>
      </c>
      <c r="E188" s="12">
        <v>148</v>
      </c>
      <c r="F188" s="12"/>
      <c r="G188" s="12"/>
      <c r="H188" s="12" t="s">
        <v>10</v>
      </c>
      <c r="I188" s="12"/>
      <c r="J188" s="12"/>
      <c r="K188" s="14"/>
    </row>
    <row r="189" spans="1:11">
      <c r="A189" s="8">
        <v>45982</v>
      </c>
      <c r="B189" s="12">
        <v>991</v>
      </c>
      <c r="C189" s="13" t="s">
        <v>27</v>
      </c>
      <c r="D189" s="12">
        <v>142</v>
      </c>
      <c r="E189" s="12">
        <v>142</v>
      </c>
      <c r="F189" s="12"/>
      <c r="G189" s="12"/>
      <c r="H189" s="12" t="s">
        <v>10</v>
      </c>
      <c r="I189" s="12"/>
      <c r="J189" s="12"/>
      <c r="K189" s="14"/>
    </row>
    <row r="190" spans="1:11">
      <c r="A190" s="8">
        <v>45982</v>
      </c>
      <c r="B190" s="12">
        <v>992</v>
      </c>
      <c r="C190" s="13" t="s">
        <v>15</v>
      </c>
      <c r="D190" s="12">
        <v>202</v>
      </c>
      <c r="E190" s="12">
        <v>202</v>
      </c>
      <c r="F190" s="12"/>
      <c r="G190" s="12"/>
      <c r="H190" s="12" t="s">
        <v>10</v>
      </c>
      <c r="I190" s="12"/>
      <c r="J190" s="12"/>
      <c r="K190" s="14"/>
    </row>
    <row r="191" spans="1:11">
      <c r="A191" s="8">
        <v>45982</v>
      </c>
      <c r="B191" s="12">
        <v>987</v>
      </c>
      <c r="C191" s="13" t="s">
        <v>16</v>
      </c>
      <c r="D191" s="12">
        <v>240</v>
      </c>
      <c r="E191" s="12">
        <v>240</v>
      </c>
      <c r="F191" s="12"/>
      <c r="G191" s="12"/>
      <c r="H191" s="12" t="s">
        <v>10</v>
      </c>
      <c r="I191" s="12"/>
      <c r="J191" s="12"/>
      <c r="K191" s="14"/>
    </row>
    <row r="192" spans="1:11">
      <c r="A192" s="8">
        <v>45982</v>
      </c>
      <c r="B192" s="12">
        <v>963</v>
      </c>
      <c r="C192" s="13" t="s">
        <v>18</v>
      </c>
      <c r="D192" s="12">
        <v>172</v>
      </c>
      <c r="E192" s="12">
        <v>172</v>
      </c>
      <c r="F192" s="12"/>
      <c r="G192" s="12"/>
      <c r="H192" s="12" t="s">
        <v>10</v>
      </c>
      <c r="I192" s="12"/>
      <c r="J192" s="12"/>
      <c r="K192" s="14"/>
    </row>
    <row r="193" spans="1:11">
      <c r="A193" s="8">
        <v>45982</v>
      </c>
      <c r="B193" s="12">
        <v>962</v>
      </c>
      <c r="C193" s="13" t="s">
        <v>19</v>
      </c>
      <c r="D193" s="12">
        <v>74</v>
      </c>
      <c r="E193" s="12">
        <v>74</v>
      </c>
      <c r="F193" s="12"/>
      <c r="G193" s="12"/>
      <c r="H193" s="12" t="s">
        <v>10</v>
      </c>
      <c r="I193" s="12"/>
      <c r="J193" s="12"/>
      <c r="K193" s="14"/>
    </row>
    <row r="194" spans="1:11">
      <c r="A194" s="8">
        <v>45983</v>
      </c>
      <c r="B194" s="12">
        <v>962</v>
      </c>
      <c r="C194" s="13" t="s">
        <v>19</v>
      </c>
      <c r="D194" s="12">
        <v>284</v>
      </c>
      <c r="E194" s="12">
        <v>284</v>
      </c>
      <c r="F194" s="12"/>
      <c r="G194" s="12"/>
      <c r="H194" s="12" t="s">
        <v>10</v>
      </c>
      <c r="I194" s="12">
        <f>SUM(E194:E212)</f>
        <v>5216</v>
      </c>
      <c r="J194" s="12"/>
      <c r="K194" s="14"/>
    </row>
    <row r="195" spans="1:11">
      <c r="A195" s="8">
        <v>45983</v>
      </c>
      <c r="B195" s="12">
        <v>965</v>
      </c>
      <c r="C195" s="13" t="s">
        <v>28</v>
      </c>
      <c r="D195" s="12">
        <v>280</v>
      </c>
      <c r="E195" s="12">
        <v>280</v>
      </c>
      <c r="F195" s="12"/>
      <c r="G195" s="12"/>
      <c r="H195" s="12" t="s">
        <v>10</v>
      </c>
      <c r="I195" s="12"/>
      <c r="J195" s="12"/>
      <c r="K195" s="14"/>
    </row>
    <row r="196" spans="1:11">
      <c r="A196" s="8">
        <v>45983</v>
      </c>
      <c r="B196" s="12">
        <v>987</v>
      </c>
      <c r="C196" s="13" t="s">
        <v>16</v>
      </c>
      <c r="D196" s="12">
        <v>280</v>
      </c>
      <c r="E196" s="12">
        <v>280</v>
      </c>
      <c r="F196" s="12"/>
      <c r="G196" s="12"/>
      <c r="H196" s="12" t="s">
        <v>10</v>
      </c>
      <c r="I196" s="12"/>
      <c r="J196" s="12"/>
      <c r="K196" s="14"/>
    </row>
    <row r="197" spans="1:11">
      <c r="A197" s="8">
        <v>45983</v>
      </c>
      <c r="B197" s="12">
        <v>991</v>
      </c>
      <c r="C197" s="13" t="s">
        <v>27</v>
      </c>
      <c r="D197" s="12">
        <v>176</v>
      </c>
      <c r="E197" s="12">
        <v>176</v>
      </c>
      <c r="F197" s="12"/>
      <c r="G197" s="12"/>
      <c r="H197" s="12" t="s">
        <v>10</v>
      </c>
      <c r="I197" s="12"/>
      <c r="J197" s="12"/>
      <c r="K197" s="14"/>
    </row>
    <row r="198" spans="1:11">
      <c r="A198" s="8">
        <v>45983</v>
      </c>
      <c r="B198" s="12">
        <v>992</v>
      </c>
      <c r="C198" s="13" t="s">
        <v>15</v>
      </c>
      <c r="D198" s="12">
        <v>140</v>
      </c>
      <c r="E198" s="12">
        <v>140</v>
      </c>
      <c r="F198" s="12"/>
      <c r="G198" s="12"/>
      <c r="H198" s="12" t="s">
        <v>10</v>
      </c>
      <c r="I198" s="12"/>
      <c r="J198" s="12"/>
      <c r="K198" s="14"/>
    </row>
    <row r="199" spans="1:11">
      <c r="A199" s="8">
        <v>45983</v>
      </c>
      <c r="B199" s="12">
        <v>985</v>
      </c>
      <c r="C199" s="13" t="s">
        <v>26</v>
      </c>
      <c r="D199" s="12">
        <v>149</v>
      </c>
      <c r="E199" s="12">
        <v>149</v>
      </c>
      <c r="F199" s="12"/>
      <c r="G199" s="12"/>
      <c r="H199" s="12" t="s">
        <v>10</v>
      </c>
      <c r="I199" s="12"/>
      <c r="J199" s="12"/>
      <c r="K199" s="14"/>
    </row>
    <row r="200" spans="1:11">
      <c r="A200" s="8">
        <v>45983</v>
      </c>
      <c r="B200" s="12">
        <v>963</v>
      </c>
      <c r="C200" s="13" t="s">
        <v>18</v>
      </c>
      <c r="D200" s="12">
        <v>103</v>
      </c>
      <c r="E200" s="12">
        <v>103</v>
      </c>
      <c r="F200" s="12"/>
      <c r="G200" s="12"/>
      <c r="H200" s="12" t="s">
        <v>10</v>
      </c>
      <c r="I200" s="12"/>
      <c r="J200" s="12"/>
      <c r="K200" s="14"/>
    </row>
    <row r="201" spans="1:11">
      <c r="A201" s="8">
        <v>45983</v>
      </c>
      <c r="B201" s="12">
        <v>988</v>
      </c>
      <c r="C201" s="13" t="s">
        <v>17</v>
      </c>
      <c r="D201" s="12">
        <v>220</v>
      </c>
      <c r="E201" s="12">
        <v>220</v>
      </c>
      <c r="F201" s="12"/>
      <c r="G201" s="12"/>
      <c r="H201" s="12" t="s">
        <v>10</v>
      </c>
      <c r="I201" s="12"/>
      <c r="J201" s="12"/>
      <c r="K201" s="14"/>
    </row>
    <row r="202" spans="1:11">
      <c r="A202" s="8">
        <v>45983</v>
      </c>
      <c r="B202" s="12">
        <v>909</v>
      </c>
      <c r="C202" s="13" t="s">
        <v>11</v>
      </c>
      <c r="D202" s="12">
        <v>406</v>
      </c>
      <c r="E202" s="12">
        <v>406</v>
      </c>
      <c r="F202" s="12"/>
      <c r="G202" s="12"/>
      <c r="H202" s="12" t="s">
        <v>10</v>
      </c>
      <c r="I202" s="12"/>
      <c r="J202" s="12"/>
      <c r="K202" s="14"/>
    </row>
    <row r="203" spans="1:11">
      <c r="A203" s="8">
        <v>45983</v>
      </c>
      <c r="B203" s="12">
        <v>908</v>
      </c>
      <c r="C203" s="13" t="s">
        <v>23</v>
      </c>
      <c r="D203" s="12">
        <v>222</v>
      </c>
      <c r="E203" s="12">
        <v>222</v>
      </c>
      <c r="F203" s="12"/>
      <c r="G203" s="12"/>
      <c r="H203" s="12" t="s">
        <v>10</v>
      </c>
      <c r="I203" s="12"/>
      <c r="J203" s="12"/>
      <c r="K203" s="14"/>
    </row>
    <row r="204" spans="1:11">
      <c r="A204" s="8">
        <v>45983</v>
      </c>
      <c r="B204" s="12">
        <v>910</v>
      </c>
      <c r="C204" s="13" t="s">
        <v>22</v>
      </c>
      <c r="D204" s="12">
        <v>56</v>
      </c>
      <c r="E204" s="12">
        <v>56</v>
      </c>
      <c r="F204" s="12"/>
      <c r="G204" s="12"/>
      <c r="H204" s="12" t="s">
        <v>10</v>
      </c>
      <c r="I204" s="12"/>
      <c r="J204" s="12"/>
      <c r="K204" s="14"/>
    </row>
    <row r="205" spans="1:11">
      <c r="A205" s="8">
        <v>45983</v>
      </c>
      <c r="B205" s="12">
        <v>632</v>
      </c>
      <c r="C205" s="13" t="s">
        <v>29</v>
      </c>
      <c r="D205" s="12">
        <v>678</v>
      </c>
      <c r="E205" s="12">
        <v>678</v>
      </c>
      <c r="F205" s="12"/>
      <c r="G205" s="12"/>
      <c r="H205" s="12" t="s">
        <v>10</v>
      </c>
      <c r="I205" s="12"/>
      <c r="J205" s="12"/>
      <c r="K205" s="14"/>
    </row>
    <row r="206" spans="1:11">
      <c r="A206" s="8">
        <v>45983</v>
      </c>
      <c r="B206" s="12">
        <v>1861</v>
      </c>
      <c r="C206" s="13" t="s">
        <v>14</v>
      </c>
      <c r="D206" s="12">
        <v>402</v>
      </c>
      <c r="E206" s="12">
        <v>402</v>
      </c>
      <c r="F206" s="12"/>
      <c r="G206" s="12"/>
      <c r="H206" s="12" t="s">
        <v>10</v>
      </c>
      <c r="I206" s="12"/>
      <c r="J206" s="12"/>
      <c r="K206" s="14"/>
    </row>
    <row r="207" spans="1:11">
      <c r="A207" s="8">
        <v>45983</v>
      </c>
      <c r="B207" s="12">
        <v>8839</v>
      </c>
      <c r="C207" s="13" t="s">
        <v>20</v>
      </c>
      <c r="D207" s="12">
        <v>308</v>
      </c>
      <c r="E207" s="12">
        <v>308</v>
      </c>
      <c r="F207" s="12"/>
      <c r="G207" s="12"/>
      <c r="H207" s="12" t="s">
        <v>10</v>
      </c>
      <c r="I207" s="12"/>
      <c r="J207" s="12"/>
      <c r="K207" s="14"/>
    </row>
    <row r="208" spans="1:11">
      <c r="A208" s="8">
        <v>45983</v>
      </c>
      <c r="B208" s="12">
        <v>6639</v>
      </c>
      <c r="C208" s="13" t="s">
        <v>9</v>
      </c>
      <c r="D208" s="12">
        <v>582</v>
      </c>
      <c r="E208" s="12">
        <v>582</v>
      </c>
      <c r="F208" s="12"/>
      <c r="G208" s="12"/>
      <c r="H208" s="12" t="s">
        <v>10</v>
      </c>
      <c r="I208" s="12"/>
      <c r="J208" s="12"/>
      <c r="K208" s="14"/>
    </row>
    <row r="209" spans="1:11">
      <c r="A209" s="8">
        <v>45983</v>
      </c>
      <c r="B209" s="12">
        <v>845</v>
      </c>
      <c r="C209" s="13" t="s">
        <v>24</v>
      </c>
      <c r="D209" s="12">
        <v>96</v>
      </c>
      <c r="E209" s="12">
        <v>96</v>
      </c>
      <c r="F209" s="12"/>
      <c r="G209" s="12"/>
      <c r="H209" s="12" t="s">
        <v>10</v>
      </c>
      <c r="I209" s="12"/>
      <c r="J209" s="12"/>
      <c r="K209" s="14"/>
    </row>
    <row r="210" spans="1:11">
      <c r="A210" s="8">
        <v>45983</v>
      </c>
      <c r="B210" s="12">
        <v>846</v>
      </c>
      <c r="C210" s="13" t="s">
        <v>76</v>
      </c>
      <c r="D210" s="12">
        <v>40</v>
      </c>
      <c r="E210" s="12">
        <v>40</v>
      </c>
      <c r="F210" s="12"/>
      <c r="G210" s="12"/>
      <c r="H210" s="12" t="s">
        <v>10</v>
      </c>
      <c r="I210" s="12"/>
      <c r="J210" s="12"/>
      <c r="K210" s="14"/>
    </row>
    <row r="211" spans="1:11">
      <c r="A211" s="8">
        <v>45983</v>
      </c>
      <c r="B211" s="12">
        <v>625</v>
      </c>
      <c r="C211" s="13" t="s">
        <v>12</v>
      </c>
      <c r="D211" s="12">
        <v>558</v>
      </c>
      <c r="E211" s="12">
        <v>558</v>
      </c>
      <c r="F211" s="12"/>
      <c r="G211" s="12"/>
      <c r="H211" s="12" t="s">
        <v>10</v>
      </c>
      <c r="I211" s="12"/>
      <c r="J211" s="12"/>
      <c r="K211" s="14"/>
    </row>
    <row r="212" spans="1:11">
      <c r="A212" s="8">
        <v>45983</v>
      </c>
      <c r="B212" s="12">
        <v>661</v>
      </c>
      <c r="C212" s="13" t="s">
        <v>30</v>
      </c>
      <c r="D212" s="12">
        <v>236</v>
      </c>
      <c r="E212" s="12">
        <v>236</v>
      </c>
      <c r="F212" s="12"/>
      <c r="G212" s="12"/>
      <c r="H212" s="12" t="s">
        <v>10</v>
      </c>
      <c r="I212" s="12"/>
      <c r="J212" s="12"/>
      <c r="K212" s="14"/>
    </row>
    <row r="213" spans="1:11">
      <c r="A213" s="8">
        <v>45984</v>
      </c>
      <c r="B213" s="12">
        <v>625</v>
      </c>
      <c r="C213" s="13" t="s">
        <v>12</v>
      </c>
      <c r="D213" s="12">
        <v>324</v>
      </c>
      <c r="E213" s="12">
        <v>324</v>
      </c>
      <c r="F213" s="12"/>
      <c r="G213" s="12"/>
      <c r="H213" s="12" t="s">
        <v>10</v>
      </c>
      <c r="I213" s="12">
        <f>SUM(E213:E221)</f>
        <v>1589</v>
      </c>
      <c r="J213" s="12"/>
      <c r="K213" s="14"/>
    </row>
    <row r="214" spans="1:11">
      <c r="A214" s="8">
        <v>45984</v>
      </c>
      <c r="B214" s="12">
        <v>627</v>
      </c>
      <c r="C214" s="13" t="s">
        <v>71</v>
      </c>
      <c r="D214" s="12">
        <v>114</v>
      </c>
      <c r="E214" s="12">
        <v>114</v>
      </c>
      <c r="F214" s="12"/>
      <c r="G214" s="12"/>
      <c r="H214" s="12" t="s">
        <v>10</v>
      </c>
      <c r="I214" s="12"/>
      <c r="J214" s="12"/>
      <c r="K214" s="14"/>
    </row>
    <row r="215" spans="1:11">
      <c r="A215" s="8">
        <v>45984</v>
      </c>
      <c r="B215" s="12">
        <v>653</v>
      </c>
      <c r="C215" s="13" t="s">
        <v>74</v>
      </c>
      <c r="D215" s="12">
        <v>81</v>
      </c>
      <c r="E215" s="12">
        <v>81</v>
      </c>
      <c r="F215" s="12"/>
      <c r="G215" s="12"/>
      <c r="H215" s="12" t="s">
        <v>10</v>
      </c>
      <c r="I215" s="12"/>
      <c r="J215" s="12"/>
      <c r="K215" s="14"/>
    </row>
    <row r="216" spans="1:11">
      <c r="A216" s="8">
        <v>45984</v>
      </c>
      <c r="B216" s="12">
        <v>987</v>
      </c>
      <c r="C216" s="13" t="s">
        <v>16</v>
      </c>
      <c r="D216" s="12">
        <v>160</v>
      </c>
      <c r="E216" s="12">
        <v>160</v>
      </c>
      <c r="F216" s="12"/>
      <c r="G216" s="12"/>
      <c r="H216" s="12" t="s">
        <v>10</v>
      </c>
      <c r="I216" s="12"/>
      <c r="J216" s="12"/>
      <c r="K216" s="14"/>
    </row>
    <row r="217" spans="1:11">
      <c r="A217" s="8">
        <v>45984</v>
      </c>
      <c r="B217" s="12">
        <v>965</v>
      </c>
      <c r="C217" s="13" t="s">
        <v>28</v>
      </c>
      <c r="D217" s="12">
        <v>140</v>
      </c>
      <c r="E217" s="12">
        <v>140</v>
      </c>
      <c r="F217" s="12"/>
      <c r="G217" s="12"/>
      <c r="H217" s="12" t="s">
        <v>10</v>
      </c>
      <c r="I217" s="12"/>
      <c r="J217" s="12"/>
      <c r="K217" s="14"/>
    </row>
    <row r="218" spans="1:11">
      <c r="A218" s="8">
        <v>45984</v>
      </c>
      <c r="B218" s="12">
        <v>988</v>
      </c>
      <c r="C218" s="13" t="s">
        <v>17</v>
      </c>
      <c r="D218" s="12">
        <v>136</v>
      </c>
      <c r="E218" s="12">
        <v>136</v>
      </c>
      <c r="F218" s="12"/>
      <c r="G218" s="12"/>
      <c r="H218" s="12" t="s">
        <v>10</v>
      </c>
      <c r="I218" s="12"/>
      <c r="J218" s="12"/>
      <c r="K218" s="14"/>
    </row>
    <row r="219" spans="1:11">
      <c r="A219" s="8">
        <v>45984</v>
      </c>
      <c r="B219" s="12">
        <v>991</v>
      </c>
      <c r="C219" s="13" t="s">
        <v>27</v>
      </c>
      <c r="D219" s="12">
        <v>192</v>
      </c>
      <c r="E219" s="12">
        <v>192</v>
      </c>
      <c r="F219" s="12"/>
      <c r="G219" s="12"/>
      <c r="H219" s="12" t="s">
        <v>10</v>
      </c>
      <c r="I219" s="12"/>
      <c r="J219" s="12"/>
      <c r="K219" s="14"/>
    </row>
    <row r="220" spans="1:11">
      <c r="A220" s="8">
        <v>45984</v>
      </c>
      <c r="B220" s="12">
        <v>992</v>
      </c>
      <c r="C220" s="13" t="s">
        <v>15</v>
      </c>
      <c r="D220" s="12">
        <v>148</v>
      </c>
      <c r="E220" s="12">
        <v>148</v>
      </c>
      <c r="F220" s="12"/>
      <c r="G220" s="12"/>
      <c r="H220" s="12" t="s">
        <v>10</v>
      </c>
      <c r="I220" s="12"/>
      <c r="J220" s="12"/>
      <c r="K220" s="14"/>
    </row>
    <row r="221" spans="1:11">
      <c r="A221" s="8">
        <v>45984</v>
      </c>
      <c r="B221" s="12">
        <v>1861</v>
      </c>
      <c r="C221" s="13" t="s">
        <v>14</v>
      </c>
      <c r="D221" s="12">
        <v>294</v>
      </c>
      <c r="E221" s="12">
        <v>294</v>
      </c>
      <c r="F221" s="12"/>
      <c r="G221" s="12"/>
      <c r="H221" s="12" t="s">
        <v>10</v>
      </c>
      <c r="I221" s="12"/>
      <c r="J221" s="12"/>
      <c r="K221" s="14"/>
    </row>
    <row r="222" spans="1:11">
      <c r="A222" s="8">
        <v>45986</v>
      </c>
      <c r="B222" s="12">
        <v>978</v>
      </c>
      <c r="C222" s="13" t="s">
        <v>25</v>
      </c>
      <c r="D222" s="12">
        <v>199</v>
      </c>
      <c r="E222" s="12">
        <v>199</v>
      </c>
      <c r="F222" s="12"/>
      <c r="G222" s="12"/>
      <c r="H222" s="12" t="s">
        <v>10</v>
      </c>
      <c r="I222" s="12">
        <f>SUM(E222:E235)</f>
        <v>2697</v>
      </c>
      <c r="J222" s="12"/>
      <c r="K222" s="14"/>
    </row>
    <row r="223" spans="1:11">
      <c r="A223" s="8">
        <v>45986</v>
      </c>
      <c r="B223" s="12">
        <v>987</v>
      </c>
      <c r="C223" s="13" t="s">
        <v>16</v>
      </c>
      <c r="D223" s="12">
        <v>109</v>
      </c>
      <c r="E223" s="12">
        <v>109</v>
      </c>
      <c r="F223" s="12"/>
      <c r="G223" s="12"/>
      <c r="H223" s="12" t="s">
        <v>10</v>
      </c>
      <c r="I223" s="12"/>
      <c r="J223" s="12"/>
      <c r="K223" s="14"/>
    </row>
    <row r="224" spans="1:11">
      <c r="A224" s="8">
        <v>45986</v>
      </c>
      <c r="B224" s="12">
        <v>967</v>
      </c>
      <c r="C224" s="13" t="s">
        <v>72</v>
      </c>
      <c r="D224" s="12">
        <v>192</v>
      </c>
      <c r="E224" s="12">
        <v>192</v>
      </c>
      <c r="F224" s="12"/>
      <c r="G224" s="12"/>
      <c r="H224" s="12" t="s">
        <v>10</v>
      </c>
      <c r="I224" s="12"/>
      <c r="J224" s="12"/>
      <c r="K224" s="14"/>
    </row>
    <row r="225" spans="1:11">
      <c r="A225" s="8">
        <v>45986</v>
      </c>
      <c r="B225" s="12">
        <v>992</v>
      </c>
      <c r="C225" s="13" t="s">
        <v>15</v>
      </c>
      <c r="D225" s="12">
        <v>179</v>
      </c>
      <c r="E225" s="12">
        <v>179</v>
      </c>
      <c r="F225" s="12"/>
      <c r="G225" s="12"/>
      <c r="H225" s="12" t="s">
        <v>10</v>
      </c>
      <c r="I225" s="12"/>
      <c r="J225" s="12"/>
      <c r="K225" s="14"/>
    </row>
    <row r="226" spans="1:11">
      <c r="A226" s="8">
        <v>45986</v>
      </c>
      <c r="B226" s="12">
        <v>991</v>
      </c>
      <c r="C226" s="13" t="s">
        <v>27</v>
      </c>
      <c r="D226" s="12">
        <v>153</v>
      </c>
      <c r="E226" s="12">
        <v>153</v>
      </c>
      <c r="F226" s="12"/>
      <c r="G226" s="12"/>
      <c r="H226" s="12" t="s">
        <v>10</v>
      </c>
      <c r="I226" s="12"/>
      <c r="J226" s="12"/>
      <c r="K226" s="14"/>
    </row>
    <row r="227" spans="1:11">
      <c r="A227" s="8">
        <v>45986</v>
      </c>
      <c r="B227" s="12">
        <v>963</v>
      </c>
      <c r="C227" s="13" t="s">
        <v>18</v>
      </c>
      <c r="D227" s="12">
        <v>191</v>
      </c>
      <c r="E227" s="12">
        <v>191</v>
      </c>
      <c r="F227" s="12"/>
      <c r="G227" s="12"/>
      <c r="H227" s="12" t="s">
        <v>10</v>
      </c>
      <c r="I227" s="12"/>
      <c r="J227" s="12"/>
      <c r="K227" s="14"/>
    </row>
    <row r="228" spans="1:11">
      <c r="A228" s="8">
        <v>45986</v>
      </c>
      <c r="B228" s="12">
        <v>985</v>
      </c>
      <c r="C228" s="13" t="s">
        <v>26</v>
      </c>
      <c r="D228" s="12">
        <v>135</v>
      </c>
      <c r="E228" s="12">
        <v>135</v>
      </c>
      <c r="F228" s="12"/>
      <c r="G228" s="12"/>
      <c r="H228" s="12" t="s">
        <v>10</v>
      </c>
      <c r="I228" s="12"/>
      <c r="J228" s="12"/>
      <c r="K228" s="14"/>
    </row>
    <row r="229" spans="1:11">
      <c r="A229" s="8">
        <v>45986</v>
      </c>
      <c r="B229" s="12">
        <v>988</v>
      </c>
      <c r="C229" s="13" t="s">
        <v>17</v>
      </c>
      <c r="D229" s="12">
        <v>15</v>
      </c>
      <c r="E229" s="12">
        <v>15</v>
      </c>
      <c r="F229" s="12"/>
      <c r="G229" s="12"/>
      <c r="H229" s="12" t="s">
        <v>10</v>
      </c>
      <c r="I229" s="12"/>
      <c r="J229" s="12"/>
      <c r="K229" s="14"/>
    </row>
    <row r="230" spans="1:11">
      <c r="A230" s="8">
        <v>45986</v>
      </c>
      <c r="B230" s="12">
        <v>625</v>
      </c>
      <c r="C230" s="13" t="s">
        <v>12</v>
      </c>
      <c r="D230" s="12">
        <v>280</v>
      </c>
      <c r="E230" s="12">
        <v>280</v>
      </c>
      <c r="F230" s="12"/>
      <c r="G230" s="12"/>
      <c r="H230" s="12" t="s">
        <v>10</v>
      </c>
      <c r="I230" s="12"/>
      <c r="J230" s="12"/>
      <c r="K230" s="14"/>
    </row>
    <row r="231" spans="1:11">
      <c r="A231" s="8">
        <v>45986</v>
      </c>
      <c r="B231" s="12">
        <v>627</v>
      </c>
      <c r="C231" s="13" t="s">
        <v>71</v>
      </c>
      <c r="D231" s="12">
        <v>152</v>
      </c>
      <c r="E231" s="12">
        <v>152</v>
      </c>
      <c r="F231" s="12"/>
      <c r="G231" s="12"/>
      <c r="H231" s="12" t="s">
        <v>10</v>
      </c>
      <c r="I231" s="12"/>
      <c r="J231" s="12"/>
      <c r="K231" s="14"/>
    </row>
    <row r="232" spans="1:11">
      <c r="A232" s="8">
        <v>45986</v>
      </c>
      <c r="B232" s="12">
        <v>981</v>
      </c>
      <c r="C232" s="13" t="s">
        <v>13</v>
      </c>
      <c r="D232" s="12">
        <v>270</v>
      </c>
      <c r="E232" s="12">
        <v>270</v>
      </c>
      <c r="F232" s="12"/>
      <c r="G232" s="12"/>
      <c r="H232" s="12" t="s">
        <v>10</v>
      </c>
      <c r="I232" s="12"/>
      <c r="J232" s="12"/>
      <c r="K232" s="14"/>
    </row>
    <row r="233" spans="1:11">
      <c r="A233" s="8">
        <v>45986</v>
      </c>
      <c r="B233" s="12">
        <v>6639</v>
      </c>
      <c r="C233" s="13" t="s">
        <v>9</v>
      </c>
      <c r="D233" s="12">
        <v>222</v>
      </c>
      <c r="E233" s="12">
        <v>222</v>
      </c>
      <c r="F233" s="12"/>
      <c r="G233" s="12"/>
      <c r="H233" s="12" t="s">
        <v>10</v>
      </c>
      <c r="I233" s="12"/>
      <c r="J233" s="12"/>
      <c r="K233" s="14"/>
    </row>
    <row r="234" spans="1:11">
      <c r="A234" s="8">
        <v>45986</v>
      </c>
      <c r="B234" s="12">
        <v>1861</v>
      </c>
      <c r="C234" s="13" t="s">
        <v>14</v>
      </c>
      <c r="D234" s="12">
        <v>360</v>
      </c>
      <c r="E234" s="12">
        <v>360</v>
      </c>
      <c r="F234" s="12"/>
      <c r="G234" s="12"/>
      <c r="H234" s="12" t="s">
        <v>10</v>
      </c>
      <c r="I234" s="12"/>
      <c r="J234" s="12"/>
      <c r="K234" s="14"/>
    </row>
    <row r="235" spans="1:11">
      <c r="A235" s="8">
        <v>45986</v>
      </c>
      <c r="B235" s="12">
        <v>8839</v>
      </c>
      <c r="C235" s="13" t="s">
        <v>20</v>
      </c>
      <c r="D235" s="12">
        <v>240</v>
      </c>
      <c r="E235" s="12">
        <v>240</v>
      </c>
      <c r="F235" s="12"/>
      <c r="G235" s="12"/>
      <c r="H235" s="12" t="s">
        <v>10</v>
      </c>
      <c r="I235" s="12"/>
      <c r="J235" s="12"/>
      <c r="K235" s="14"/>
    </row>
    <row r="236" spans="1:11">
      <c r="A236" s="8">
        <v>45987</v>
      </c>
      <c r="B236" s="12">
        <v>632</v>
      </c>
      <c r="C236" s="13" t="s">
        <v>29</v>
      </c>
      <c r="D236" s="12">
        <v>260</v>
      </c>
      <c r="E236" s="12">
        <v>260</v>
      </c>
      <c r="F236" s="12"/>
      <c r="G236" s="12"/>
      <c r="H236" s="12" t="s">
        <v>10</v>
      </c>
      <c r="I236" s="12">
        <f>SUM(E236:E244)</f>
        <v>1172</v>
      </c>
      <c r="J236" s="12"/>
      <c r="K236" s="14"/>
    </row>
    <row r="237" spans="1:11">
      <c r="A237" s="8">
        <v>45987</v>
      </c>
      <c r="B237" s="12">
        <v>909</v>
      </c>
      <c r="C237" s="13" t="s">
        <v>11</v>
      </c>
      <c r="D237" s="12">
        <v>325</v>
      </c>
      <c r="E237" s="12">
        <v>325</v>
      </c>
      <c r="F237" s="12"/>
      <c r="G237" s="12"/>
      <c r="H237" s="12" t="s">
        <v>10</v>
      </c>
      <c r="I237" s="12"/>
      <c r="J237" s="12"/>
      <c r="K237" s="14"/>
    </row>
    <row r="238" spans="1:11">
      <c r="A238" s="8">
        <v>45987</v>
      </c>
      <c r="B238" s="12">
        <v>659</v>
      </c>
      <c r="C238" s="13" t="s">
        <v>21</v>
      </c>
      <c r="D238" s="12">
        <v>34</v>
      </c>
      <c r="E238" s="12">
        <v>34</v>
      </c>
      <c r="F238" s="12"/>
      <c r="G238" s="12"/>
      <c r="H238" s="12" t="s">
        <v>10</v>
      </c>
      <c r="I238" s="12"/>
      <c r="J238" s="12"/>
      <c r="K238" s="14"/>
    </row>
    <row r="239" spans="1:11">
      <c r="A239" s="8">
        <v>45987</v>
      </c>
      <c r="B239" s="12">
        <v>8839</v>
      </c>
      <c r="C239" s="13" t="s">
        <v>20</v>
      </c>
      <c r="D239" s="12">
        <v>204</v>
      </c>
      <c r="E239" s="12">
        <v>204</v>
      </c>
      <c r="F239" s="12"/>
      <c r="G239" s="12"/>
      <c r="H239" s="12" t="s">
        <v>10</v>
      </c>
      <c r="I239" s="12"/>
      <c r="J239" s="12"/>
      <c r="K239" s="14"/>
    </row>
    <row r="240" spans="1:11">
      <c r="A240" s="8">
        <v>45987</v>
      </c>
      <c r="B240" s="12">
        <v>1861</v>
      </c>
      <c r="C240" s="13" t="s">
        <v>14</v>
      </c>
      <c r="D240" s="12">
        <v>51</v>
      </c>
      <c r="E240" s="12">
        <v>51</v>
      </c>
      <c r="F240" s="12"/>
      <c r="G240" s="12"/>
      <c r="H240" s="12" t="s">
        <v>10</v>
      </c>
      <c r="I240" s="12"/>
      <c r="J240" s="12"/>
      <c r="K240" s="14"/>
    </row>
    <row r="241" spans="1:11">
      <c r="A241" s="8">
        <v>45987</v>
      </c>
      <c r="B241" s="12">
        <v>963</v>
      </c>
      <c r="C241" s="13" t="s">
        <v>18</v>
      </c>
      <c r="D241" s="12">
        <v>102</v>
      </c>
      <c r="E241" s="12">
        <v>102</v>
      </c>
      <c r="F241" s="12"/>
      <c r="G241" s="12"/>
      <c r="H241" s="12" t="s">
        <v>10</v>
      </c>
      <c r="I241" s="12"/>
      <c r="J241" s="12"/>
      <c r="K241" s="14"/>
    </row>
    <row r="242" spans="1:11">
      <c r="A242" s="8">
        <v>45987</v>
      </c>
      <c r="B242" s="12">
        <v>985</v>
      </c>
      <c r="C242" s="13" t="s">
        <v>26</v>
      </c>
      <c r="D242" s="12">
        <v>42</v>
      </c>
      <c r="E242" s="12">
        <v>42</v>
      </c>
      <c r="F242" s="12"/>
      <c r="G242" s="12"/>
      <c r="H242" s="12" t="s">
        <v>10</v>
      </c>
      <c r="I242" s="12"/>
      <c r="J242" s="12"/>
      <c r="K242" s="14"/>
    </row>
    <row r="243" spans="1:11">
      <c r="A243" s="8">
        <v>45987</v>
      </c>
      <c r="B243" s="12">
        <v>992</v>
      </c>
      <c r="C243" s="13" t="s">
        <v>15</v>
      </c>
      <c r="D243" s="12">
        <v>108</v>
      </c>
      <c r="E243" s="12">
        <v>108</v>
      </c>
      <c r="F243" s="12"/>
      <c r="G243" s="12"/>
      <c r="H243" s="12" t="s">
        <v>10</v>
      </c>
      <c r="I243" s="12"/>
      <c r="J243" s="12"/>
      <c r="K243" s="14"/>
    </row>
    <row r="244" spans="1:11">
      <c r="A244" s="8">
        <v>45987</v>
      </c>
      <c r="B244" s="12">
        <v>845</v>
      </c>
      <c r="C244" s="13" t="s">
        <v>24</v>
      </c>
      <c r="D244" s="12">
        <v>46</v>
      </c>
      <c r="E244" s="12">
        <v>46</v>
      </c>
      <c r="F244" s="12"/>
      <c r="G244" s="12"/>
      <c r="H244" s="12" t="s">
        <v>10</v>
      </c>
      <c r="I244" s="12"/>
      <c r="J244" s="12"/>
      <c r="K244" s="14"/>
    </row>
    <row r="245" spans="1:11">
      <c r="A245" s="8">
        <v>45988</v>
      </c>
      <c r="B245" s="12">
        <v>625</v>
      </c>
      <c r="C245" s="13" t="s">
        <v>12</v>
      </c>
      <c r="D245" s="12">
        <v>332</v>
      </c>
      <c r="E245" s="12">
        <v>332</v>
      </c>
      <c r="F245" s="12"/>
      <c r="G245" s="12"/>
      <c r="H245" s="12" t="s">
        <v>10</v>
      </c>
      <c r="I245" s="12">
        <f>SUM(E245:E255)</f>
        <v>1952</v>
      </c>
      <c r="J245" s="12"/>
      <c r="K245" s="14"/>
    </row>
    <row r="246" spans="1:11">
      <c r="A246" s="8">
        <v>45988</v>
      </c>
      <c r="B246" s="12">
        <v>845</v>
      </c>
      <c r="C246" s="13" t="s">
        <v>24</v>
      </c>
      <c r="D246" s="12">
        <v>72</v>
      </c>
      <c r="E246" s="12">
        <v>72</v>
      </c>
      <c r="F246" s="12"/>
      <c r="G246" s="12"/>
      <c r="H246" s="12" t="s">
        <v>10</v>
      </c>
      <c r="I246" s="12"/>
      <c r="J246" s="12"/>
      <c r="K246" s="14"/>
    </row>
    <row r="247" spans="1:11">
      <c r="A247" s="8">
        <v>45988</v>
      </c>
      <c r="B247" s="12">
        <v>963</v>
      </c>
      <c r="C247" s="13" t="s">
        <v>18</v>
      </c>
      <c r="D247" s="12">
        <v>288</v>
      </c>
      <c r="E247" s="12">
        <v>288</v>
      </c>
      <c r="F247" s="12"/>
      <c r="G247" s="12"/>
      <c r="H247" s="12" t="s">
        <v>10</v>
      </c>
      <c r="I247" s="12"/>
      <c r="J247" s="12"/>
      <c r="K247" s="14"/>
    </row>
    <row r="248" spans="1:11">
      <c r="A248" s="8">
        <v>45988</v>
      </c>
      <c r="B248" s="12">
        <v>985</v>
      </c>
      <c r="C248" s="13" t="s">
        <v>26</v>
      </c>
      <c r="D248" s="12">
        <v>60</v>
      </c>
      <c r="E248" s="12">
        <v>60</v>
      </c>
      <c r="F248" s="12"/>
      <c r="G248" s="12"/>
      <c r="H248" s="12" t="s">
        <v>10</v>
      </c>
      <c r="I248" s="12"/>
      <c r="J248" s="12"/>
      <c r="K248" s="14"/>
    </row>
    <row r="249" spans="1:11">
      <c r="A249" s="8">
        <v>45988</v>
      </c>
      <c r="B249" s="12">
        <v>978</v>
      </c>
      <c r="C249" s="13" t="s">
        <v>25</v>
      </c>
      <c r="D249" s="12">
        <v>270</v>
      </c>
      <c r="E249" s="12">
        <v>270</v>
      </c>
      <c r="F249" s="12"/>
      <c r="G249" s="12"/>
      <c r="H249" s="12" t="s">
        <v>10</v>
      </c>
      <c r="I249" s="12"/>
      <c r="J249" s="12"/>
      <c r="K249" s="14"/>
    </row>
    <row r="250" spans="1:11">
      <c r="A250" s="8">
        <v>45988</v>
      </c>
      <c r="B250" s="12">
        <v>987</v>
      </c>
      <c r="C250" s="13" t="s">
        <v>16</v>
      </c>
      <c r="D250" s="12">
        <v>198</v>
      </c>
      <c r="E250" s="12">
        <v>198</v>
      </c>
      <c r="F250" s="12"/>
      <c r="G250" s="12"/>
      <c r="H250" s="12" t="s">
        <v>10</v>
      </c>
      <c r="I250" s="12"/>
      <c r="J250" s="12"/>
      <c r="K250" s="14"/>
    </row>
    <row r="251" spans="1:11">
      <c r="A251" s="8">
        <v>45988</v>
      </c>
      <c r="B251" s="12">
        <v>965</v>
      </c>
      <c r="C251" s="13" t="s">
        <v>28</v>
      </c>
      <c r="D251" s="12">
        <v>272</v>
      </c>
      <c r="E251" s="12">
        <v>272</v>
      </c>
      <c r="F251" s="12"/>
      <c r="G251" s="12"/>
      <c r="H251" s="12" t="s">
        <v>10</v>
      </c>
      <c r="I251" s="12"/>
      <c r="J251" s="12"/>
      <c r="K251" s="14"/>
    </row>
    <row r="252" spans="1:11">
      <c r="A252" s="8">
        <v>45988</v>
      </c>
      <c r="B252" s="12">
        <v>988</v>
      </c>
      <c r="C252" s="13" t="s">
        <v>17</v>
      </c>
      <c r="D252" s="12">
        <v>176</v>
      </c>
      <c r="E252" s="12">
        <v>176</v>
      </c>
      <c r="F252" s="12"/>
      <c r="G252" s="12"/>
      <c r="H252" s="12" t="s">
        <v>10</v>
      </c>
      <c r="I252" s="12"/>
      <c r="J252" s="12"/>
      <c r="K252" s="14"/>
    </row>
    <row r="253" spans="1:11">
      <c r="A253" s="8">
        <v>45988</v>
      </c>
      <c r="B253" s="12">
        <v>991</v>
      </c>
      <c r="C253" s="13" t="s">
        <v>27</v>
      </c>
      <c r="D253" s="12">
        <v>102</v>
      </c>
      <c r="E253" s="12">
        <v>102</v>
      </c>
      <c r="F253" s="12"/>
      <c r="G253" s="12"/>
      <c r="H253" s="12" t="s">
        <v>10</v>
      </c>
      <c r="I253" s="12"/>
      <c r="J253" s="12"/>
      <c r="K253" s="14"/>
    </row>
    <row r="254" spans="1:11">
      <c r="A254" s="8">
        <v>45988</v>
      </c>
      <c r="B254" s="12">
        <v>992</v>
      </c>
      <c r="C254" s="13" t="s">
        <v>15</v>
      </c>
      <c r="D254" s="12">
        <v>70</v>
      </c>
      <c r="E254" s="12">
        <v>70</v>
      </c>
      <c r="F254" s="12"/>
      <c r="G254" s="12"/>
      <c r="H254" s="12" t="s">
        <v>10</v>
      </c>
      <c r="I254" s="12"/>
      <c r="J254" s="12"/>
      <c r="K254" s="14"/>
    </row>
    <row r="255" spans="1:11">
      <c r="A255" s="8">
        <v>45988</v>
      </c>
      <c r="B255" s="12">
        <v>962</v>
      </c>
      <c r="C255" s="13" t="s">
        <v>19</v>
      </c>
      <c r="D255" s="12">
        <v>112</v>
      </c>
      <c r="E255" s="12">
        <v>112</v>
      </c>
      <c r="F255" s="12"/>
      <c r="G255" s="12"/>
      <c r="H255" s="12" t="s">
        <v>10</v>
      </c>
      <c r="I255" s="12"/>
      <c r="J255" s="12"/>
      <c r="K255" s="14"/>
    </row>
    <row r="256" spans="1:11">
      <c r="A256" s="8">
        <v>45989</v>
      </c>
      <c r="B256" s="12">
        <v>965</v>
      </c>
      <c r="C256" s="13" t="s">
        <v>28</v>
      </c>
      <c r="D256" s="12">
        <v>384</v>
      </c>
      <c r="E256" s="12">
        <v>384</v>
      </c>
      <c r="F256" s="12"/>
      <c r="G256" s="12"/>
      <c r="H256" s="12" t="s">
        <v>10</v>
      </c>
      <c r="I256" s="12">
        <f>SUM(E256:E268)</f>
        <v>3016</v>
      </c>
      <c r="J256" s="12"/>
      <c r="K256" s="14"/>
    </row>
    <row r="257" spans="1:11">
      <c r="A257" s="8">
        <v>45989</v>
      </c>
      <c r="B257" s="12">
        <v>987</v>
      </c>
      <c r="C257" s="13" t="s">
        <v>16</v>
      </c>
      <c r="D257" s="12">
        <v>463</v>
      </c>
      <c r="E257" s="12">
        <v>463</v>
      </c>
      <c r="F257" s="12"/>
      <c r="G257" s="12"/>
      <c r="H257" s="12" t="s">
        <v>10</v>
      </c>
      <c r="I257" s="12"/>
      <c r="J257" s="12"/>
      <c r="K257" s="14"/>
    </row>
    <row r="258" spans="1:11">
      <c r="A258" s="8">
        <v>45989</v>
      </c>
      <c r="B258" s="12">
        <v>978</v>
      </c>
      <c r="C258" s="13" t="s">
        <v>25</v>
      </c>
      <c r="D258" s="12">
        <v>179</v>
      </c>
      <c r="E258" s="12">
        <v>179</v>
      </c>
      <c r="F258" s="12"/>
      <c r="G258" s="12"/>
      <c r="H258" s="12" t="s">
        <v>10</v>
      </c>
      <c r="I258" s="12"/>
      <c r="J258" s="12"/>
      <c r="K258" s="14"/>
    </row>
    <row r="259" spans="1:11">
      <c r="A259" s="8">
        <v>45989</v>
      </c>
      <c r="B259" s="12">
        <v>963</v>
      </c>
      <c r="C259" s="13" t="s">
        <v>18</v>
      </c>
      <c r="D259" s="12">
        <v>322</v>
      </c>
      <c r="E259" s="12">
        <v>322</v>
      </c>
      <c r="F259" s="12"/>
      <c r="G259" s="12"/>
      <c r="H259" s="12" t="s">
        <v>10</v>
      </c>
      <c r="I259" s="12"/>
      <c r="J259" s="12"/>
      <c r="K259" s="14"/>
    </row>
    <row r="260" spans="1:11">
      <c r="A260" s="8">
        <v>45989</v>
      </c>
      <c r="B260" s="12">
        <v>985</v>
      </c>
      <c r="C260" s="13" t="s">
        <v>26</v>
      </c>
      <c r="D260" s="12">
        <v>152</v>
      </c>
      <c r="E260" s="12">
        <v>152</v>
      </c>
      <c r="F260" s="12"/>
      <c r="G260" s="12"/>
      <c r="H260" s="12" t="s">
        <v>10</v>
      </c>
      <c r="I260" s="12"/>
      <c r="J260" s="12"/>
      <c r="K260" s="14"/>
    </row>
    <row r="261" spans="1:11">
      <c r="A261" s="8">
        <v>45989</v>
      </c>
      <c r="B261" s="12">
        <v>988</v>
      </c>
      <c r="C261" s="13" t="s">
        <v>17</v>
      </c>
      <c r="D261" s="12">
        <v>260</v>
      </c>
      <c r="E261" s="12">
        <v>260</v>
      </c>
      <c r="F261" s="12"/>
      <c r="G261" s="12"/>
      <c r="H261" s="12" t="s">
        <v>10</v>
      </c>
      <c r="I261" s="12"/>
      <c r="J261" s="12"/>
      <c r="K261" s="14"/>
    </row>
    <row r="262" spans="1:11">
      <c r="A262" s="8">
        <v>45989</v>
      </c>
      <c r="B262" s="12">
        <v>962</v>
      </c>
      <c r="C262" s="13" t="s">
        <v>19</v>
      </c>
      <c r="D262" s="12">
        <v>192</v>
      </c>
      <c r="E262" s="12">
        <v>192</v>
      </c>
      <c r="F262" s="12"/>
      <c r="G262" s="12"/>
      <c r="H262" s="12" t="s">
        <v>10</v>
      </c>
      <c r="I262" s="12"/>
      <c r="J262" s="12"/>
      <c r="K262" s="14"/>
    </row>
    <row r="263" spans="1:11">
      <c r="A263" s="8">
        <v>45989</v>
      </c>
      <c r="B263" s="12">
        <v>991</v>
      </c>
      <c r="C263" s="13" t="s">
        <v>27</v>
      </c>
      <c r="D263" s="12">
        <v>266</v>
      </c>
      <c r="E263" s="12">
        <v>266</v>
      </c>
      <c r="F263" s="12"/>
      <c r="G263" s="12"/>
      <c r="H263" s="12" t="s">
        <v>10</v>
      </c>
      <c r="I263" s="12"/>
      <c r="J263" s="12"/>
      <c r="K263" s="14"/>
    </row>
    <row r="264" spans="1:11">
      <c r="A264" s="8">
        <v>45989</v>
      </c>
      <c r="B264" s="12">
        <v>992</v>
      </c>
      <c r="C264" s="13" t="s">
        <v>15</v>
      </c>
      <c r="D264" s="12">
        <v>90</v>
      </c>
      <c r="E264" s="12">
        <v>90</v>
      </c>
      <c r="F264" s="12"/>
      <c r="G264" s="12"/>
      <c r="H264" s="12" t="s">
        <v>10</v>
      </c>
      <c r="I264" s="12"/>
      <c r="J264" s="12"/>
      <c r="K264" s="14"/>
    </row>
    <row r="265" spans="1:11">
      <c r="A265" s="8">
        <v>45989</v>
      </c>
      <c r="B265" s="12">
        <v>965</v>
      </c>
      <c r="C265" s="13" t="s">
        <v>28</v>
      </c>
      <c r="D265" s="12">
        <v>108</v>
      </c>
      <c r="E265" s="12">
        <v>108</v>
      </c>
      <c r="F265" s="12"/>
      <c r="G265" s="12"/>
      <c r="H265" s="12" t="s">
        <v>10</v>
      </c>
      <c r="I265" s="12"/>
      <c r="J265" s="12"/>
      <c r="K265" s="14"/>
    </row>
    <row r="266" spans="1:11">
      <c r="A266" s="8">
        <v>45989</v>
      </c>
      <c r="B266" s="12">
        <v>8839</v>
      </c>
      <c r="C266" s="13" t="s">
        <v>20</v>
      </c>
      <c r="D266" s="12">
        <v>86</v>
      </c>
      <c r="E266" s="12">
        <v>86</v>
      </c>
      <c r="F266" s="12"/>
      <c r="G266" s="12"/>
      <c r="H266" s="12" t="s">
        <v>10</v>
      </c>
      <c r="I266" s="12"/>
      <c r="J266" s="12"/>
      <c r="K266" s="14"/>
    </row>
    <row r="267" spans="1:11">
      <c r="A267" s="8">
        <v>45989</v>
      </c>
      <c r="B267" s="12">
        <v>909</v>
      </c>
      <c r="C267" s="13" t="s">
        <v>11</v>
      </c>
      <c r="D267" s="12">
        <v>414</v>
      </c>
      <c r="E267" s="12">
        <v>414</v>
      </c>
      <c r="F267" s="12"/>
      <c r="G267" s="12"/>
      <c r="H267" s="12" t="s">
        <v>10</v>
      </c>
      <c r="I267" s="12"/>
      <c r="J267" s="12"/>
      <c r="K267" s="14"/>
    </row>
    <row r="268" spans="1:11">
      <c r="A268" s="8">
        <v>45989</v>
      </c>
      <c r="B268" s="12">
        <v>632</v>
      </c>
      <c r="C268" s="13" t="s">
        <v>29</v>
      </c>
      <c r="D268" s="12">
        <v>100</v>
      </c>
      <c r="E268" s="12">
        <v>100</v>
      </c>
      <c r="F268" s="12"/>
      <c r="G268" s="12"/>
      <c r="H268" s="12" t="s">
        <v>10</v>
      </c>
      <c r="I268" s="12"/>
      <c r="J268" s="12"/>
      <c r="K268" s="14"/>
    </row>
    <row r="269" spans="1:11">
      <c r="A269" s="8">
        <v>45990</v>
      </c>
      <c r="B269" s="12">
        <v>6639</v>
      </c>
      <c r="C269" s="13" t="s">
        <v>9</v>
      </c>
      <c r="D269" s="12">
        <v>288</v>
      </c>
      <c r="E269" s="12">
        <v>288</v>
      </c>
      <c r="F269" s="12"/>
      <c r="G269" s="12"/>
      <c r="H269" s="12" t="s">
        <v>10</v>
      </c>
      <c r="I269" s="12">
        <f>SUM(E269:E271)</f>
        <v>782</v>
      </c>
      <c r="J269" s="12"/>
      <c r="K269" s="14"/>
    </row>
    <row r="270" spans="1:11">
      <c r="A270" s="8">
        <v>45990</v>
      </c>
      <c r="B270" s="12">
        <v>661</v>
      </c>
      <c r="C270" s="13" t="s">
        <v>30</v>
      </c>
      <c r="D270" s="12">
        <v>212</v>
      </c>
      <c r="E270" s="12">
        <v>212</v>
      </c>
      <c r="F270" s="12"/>
      <c r="G270" s="12"/>
      <c r="H270" s="12" t="s">
        <v>10</v>
      </c>
      <c r="I270" s="12"/>
      <c r="J270" s="12"/>
      <c r="K270" s="14"/>
    </row>
    <row r="271" spans="1:11">
      <c r="A271" s="8">
        <v>45990</v>
      </c>
      <c r="B271" s="12">
        <v>1861</v>
      </c>
      <c r="C271" s="13" t="s">
        <v>14</v>
      </c>
      <c r="D271" s="12">
        <v>282</v>
      </c>
      <c r="E271" s="12">
        <v>282</v>
      </c>
      <c r="F271" s="12"/>
      <c r="G271" s="12"/>
      <c r="H271" s="12" t="s">
        <v>10</v>
      </c>
      <c r="I271" s="12"/>
      <c r="J271" s="12"/>
      <c r="K271" s="14"/>
    </row>
    <row r="272" spans="1:11">
      <c r="A272" s="34"/>
      <c r="B272" s="12"/>
      <c r="C272" s="31"/>
      <c r="D272" s="12"/>
      <c r="E272" s="12"/>
      <c r="F272" s="12"/>
      <c r="G272" s="12"/>
      <c r="H272" s="12"/>
      <c r="I272" s="12"/>
      <c r="J272" s="12">
        <f>SUM(I2:I271)</f>
        <v>66443</v>
      </c>
      <c r="K272" s="14"/>
    </row>
    <row r="273" spans="1:11">
      <c r="A273" s="30"/>
      <c r="B273" s="12"/>
      <c r="C273" s="31"/>
      <c r="D273" s="12"/>
      <c r="E273" s="12"/>
      <c r="F273" s="12"/>
      <c r="G273" s="12"/>
      <c r="H273" s="12"/>
      <c r="I273" s="12"/>
      <c r="J273" s="12">
        <f>200+430+300</f>
        <v>930</v>
      </c>
      <c r="K273" s="14"/>
    </row>
    <row r="274" spans="1:11">
      <c r="A274" s="30"/>
      <c r="B274" s="12"/>
      <c r="C274" s="31"/>
      <c r="D274" s="12"/>
      <c r="E274" s="12"/>
      <c r="F274" s="12"/>
      <c r="G274" s="12"/>
      <c r="H274" s="12"/>
      <c r="I274" s="12"/>
      <c r="J274" s="12">
        <f>J272+J273</f>
        <v>67373</v>
      </c>
      <c r="K274" s="14"/>
    </row>
    <row r="275" spans="1:11">
      <c r="A275" s="32"/>
      <c r="B275" s="15"/>
      <c r="C275" s="22"/>
      <c r="D275" s="15"/>
      <c r="E275" s="15"/>
      <c r="F275" s="15"/>
      <c r="G275" s="15"/>
      <c r="H275" s="15"/>
      <c r="I275" s="15"/>
      <c r="J275" s="15"/>
      <c r="K275" s="17">
        <f>J274*0.05</f>
        <v>3368.65</v>
      </c>
    </row>
  </sheetData>
  <mergeCells count="26">
    <mergeCell ref="I2:I10"/>
    <mergeCell ref="I11:I18"/>
    <mergeCell ref="I19:I23"/>
    <mergeCell ref="I24:I37"/>
    <mergeCell ref="I38:I47"/>
    <mergeCell ref="I48:I65"/>
    <mergeCell ref="I66:I74"/>
    <mergeCell ref="I75:I83"/>
    <mergeCell ref="I84:I89"/>
    <mergeCell ref="I90:I97"/>
    <mergeCell ref="I98:I105"/>
    <mergeCell ref="I106:I118"/>
    <mergeCell ref="I119:I126"/>
    <mergeCell ref="I127:I138"/>
    <mergeCell ref="I139:I144"/>
    <mergeCell ref="I145:I158"/>
    <mergeCell ref="I159:I169"/>
    <mergeCell ref="I170:I180"/>
    <mergeCell ref="I181:I193"/>
    <mergeCell ref="I194:I212"/>
    <mergeCell ref="I213:I221"/>
    <mergeCell ref="I222:I235"/>
    <mergeCell ref="I236:I244"/>
    <mergeCell ref="I245:I255"/>
    <mergeCell ref="I256:I268"/>
    <mergeCell ref="I269:I27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7"/>
  <sheetViews>
    <sheetView zoomScale="86" zoomScaleNormal="86" workbookViewId="0">
      <pane ySplit="1" topLeftCell="A2" activePane="bottomLeft" state="frozen"/>
      <selection/>
      <selection pane="bottomLeft" activeCell="A2" sqref="A2"/>
    </sheetView>
  </sheetViews>
  <sheetFormatPr defaultColWidth="10" defaultRowHeight="13.5"/>
  <cols>
    <col min="1" max="1" width="10.8166666666667" style="1" customWidth="1"/>
    <col min="2" max="2" width="7.19166666666667" style="1" customWidth="1"/>
    <col min="3" max="3" width="9" style="2" customWidth="1"/>
    <col min="4" max="7" width="12" style="1" customWidth="1"/>
    <col min="8" max="8" width="8" style="1" customWidth="1"/>
    <col min="9" max="9" width="7.19166666666667" style="1" customWidth="1"/>
    <col min="10" max="10" width="9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9"/>
      <c r="K1" s="27"/>
      <c r="L1" s="27"/>
      <c r="M1" s="27"/>
      <c r="N1" s="27"/>
      <c r="O1" s="27"/>
      <c r="P1" s="27"/>
    </row>
    <row r="2" spans="1:16">
      <c r="A2" s="8">
        <v>45932</v>
      </c>
      <c r="B2" s="9">
        <v>909</v>
      </c>
      <c r="C2" s="10" t="s">
        <v>11</v>
      </c>
      <c r="D2" s="9">
        <v>936</v>
      </c>
      <c r="E2" s="9">
        <v>936</v>
      </c>
      <c r="F2" s="9"/>
      <c r="G2" s="9"/>
      <c r="H2" s="9" t="s">
        <v>10</v>
      </c>
      <c r="I2" s="9">
        <f>SUM(E2:E11)</f>
        <v>4084</v>
      </c>
      <c r="J2" s="11"/>
    </row>
    <row r="3" spans="1:16">
      <c r="A3" s="8">
        <v>45932</v>
      </c>
      <c r="B3" s="12">
        <v>908</v>
      </c>
      <c r="C3" s="13" t="s">
        <v>23</v>
      </c>
      <c r="D3" s="12">
        <v>276</v>
      </c>
      <c r="E3" s="12">
        <v>276</v>
      </c>
      <c r="F3" s="12"/>
      <c r="G3" s="12"/>
      <c r="H3" s="12" t="s">
        <v>10</v>
      </c>
      <c r="I3" s="12"/>
      <c r="J3" s="14"/>
    </row>
    <row r="4" spans="1:16">
      <c r="A4" s="8">
        <v>45932</v>
      </c>
      <c r="B4" s="12">
        <v>1908</v>
      </c>
      <c r="C4" s="13" t="s">
        <v>77</v>
      </c>
      <c r="D4" s="12">
        <v>264</v>
      </c>
      <c r="E4" s="12">
        <v>264</v>
      </c>
      <c r="F4" s="12"/>
      <c r="G4" s="12"/>
      <c r="H4" s="12" t="s">
        <v>10</v>
      </c>
      <c r="I4" s="12"/>
      <c r="J4" s="14"/>
    </row>
    <row r="5" spans="1:16">
      <c r="A5" s="8">
        <v>45932</v>
      </c>
      <c r="B5" s="12">
        <v>632</v>
      </c>
      <c r="C5" s="13" t="s">
        <v>29</v>
      </c>
      <c r="D5" s="12">
        <v>450</v>
      </c>
      <c r="E5" s="12">
        <v>450</v>
      </c>
      <c r="F5" s="12"/>
      <c r="G5" s="12"/>
      <c r="H5" s="12" t="s">
        <v>10</v>
      </c>
      <c r="I5" s="12"/>
      <c r="J5" s="14"/>
    </row>
    <row r="6" spans="1:16">
      <c r="A6" s="8">
        <v>45932</v>
      </c>
      <c r="B6" s="12">
        <v>625</v>
      </c>
      <c r="C6" s="13" t="s">
        <v>12</v>
      </c>
      <c r="D6" s="12">
        <v>450</v>
      </c>
      <c r="E6" s="12">
        <v>450</v>
      </c>
      <c r="F6" s="12"/>
      <c r="G6" s="12"/>
      <c r="H6" s="12" t="s">
        <v>10</v>
      </c>
      <c r="I6" s="12"/>
      <c r="J6" s="14"/>
    </row>
    <row r="7" spans="1:16">
      <c r="A7" s="8">
        <v>45932</v>
      </c>
      <c r="B7" s="12">
        <v>1632</v>
      </c>
      <c r="C7" s="13" t="s">
        <v>78</v>
      </c>
      <c r="D7" s="12">
        <v>426</v>
      </c>
      <c r="E7" s="12">
        <v>426</v>
      </c>
      <c r="F7" s="12"/>
      <c r="G7" s="12"/>
      <c r="H7" s="12" t="s">
        <v>10</v>
      </c>
      <c r="I7" s="12"/>
      <c r="J7" s="14"/>
    </row>
    <row r="8" spans="1:16">
      <c r="A8" s="8">
        <v>45932</v>
      </c>
      <c r="B8" s="12">
        <v>627</v>
      </c>
      <c r="C8" s="13" t="s">
        <v>71</v>
      </c>
      <c r="D8" s="12">
        <v>332</v>
      </c>
      <c r="E8" s="12">
        <v>332</v>
      </c>
      <c r="F8" s="12"/>
      <c r="G8" s="12"/>
      <c r="H8" s="12" t="s">
        <v>10</v>
      </c>
      <c r="I8" s="12"/>
      <c r="J8" s="14"/>
    </row>
    <row r="9" spans="1:16">
      <c r="A9" s="8">
        <v>45932</v>
      </c>
      <c r="B9" s="12">
        <v>653</v>
      </c>
      <c r="C9" s="13" t="s">
        <v>74</v>
      </c>
      <c r="D9" s="12">
        <v>292</v>
      </c>
      <c r="E9" s="12">
        <v>292</v>
      </c>
      <c r="F9" s="12"/>
      <c r="G9" s="12"/>
      <c r="H9" s="12" t="s">
        <v>10</v>
      </c>
      <c r="I9" s="12"/>
      <c r="J9" s="14"/>
    </row>
    <row r="10" spans="1:16">
      <c r="A10" s="8">
        <v>45932</v>
      </c>
      <c r="B10" s="12">
        <v>1627</v>
      </c>
      <c r="C10" s="13" t="s">
        <v>79</v>
      </c>
      <c r="D10" s="12">
        <v>184</v>
      </c>
      <c r="E10" s="12">
        <v>184</v>
      </c>
      <c r="F10" s="12"/>
      <c r="G10" s="12"/>
      <c r="H10" s="12" t="s">
        <v>10</v>
      </c>
      <c r="I10" s="12"/>
      <c r="J10" s="14"/>
    </row>
    <row r="11" spans="1:16">
      <c r="A11" s="8">
        <v>45932</v>
      </c>
      <c r="B11" s="12">
        <v>1861</v>
      </c>
      <c r="C11" s="13" t="s">
        <v>14</v>
      </c>
      <c r="D11" s="12">
        <v>474</v>
      </c>
      <c r="E11" s="12">
        <v>474</v>
      </c>
      <c r="F11" s="12"/>
      <c r="G11" s="12"/>
      <c r="H11" s="12" t="s">
        <v>10</v>
      </c>
      <c r="I11" s="12"/>
      <c r="J11" s="14"/>
    </row>
    <row r="12" spans="1:16">
      <c r="A12" s="8">
        <v>45933</v>
      </c>
      <c r="B12" s="12">
        <v>9845</v>
      </c>
      <c r="C12" s="13" t="s">
        <v>80</v>
      </c>
      <c r="D12" s="12">
        <v>352</v>
      </c>
      <c r="E12" s="12">
        <v>352</v>
      </c>
      <c r="F12" s="12"/>
      <c r="G12" s="12"/>
      <c r="H12" s="12" t="s">
        <v>10</v>
      </c>
      <c r="I12" s="12">
        <f>SUM(E12:E25)</f>
        <v>4148</v>
      </c>
      <c r="J12" s="14"/>
    </row>
    <row r="13" spans="1:16">
      <c r="A13" s="8">
        <v>45933</v>
      </c>
      <c r="B13" s="12">
        <v>9632</v>
      </c>
      <c r="C13" s="13" t="s">
        <v>75</v>
      </c>
      <c r="D13" s="12">
        <v>207</v>
      </c>
      <c r="E13" s="12">
        <v>207</v>
      </c>
      <c r="F13" s="12"/>
      <c r="G13" s="12"/>
      <c r="H13" s="12" t="s">
        <v>10</v>
      </c>
      <c r="I13" s="12"/>
      <c r="J13" s="14"/>
    </row>
    <row r="14" spans="1:16">
      <c r="A14" s="8">
        <v>45933</v>
      </c>
      <c r="B14" s="12">
        <v>9625</v>
      </c>
      <c r="C14" s="13" t="s">
        <v>81</v>
      </c>
      <c r="D14" s="12">
        <v>210</v>
      </c>
      <c r="E14" s="12">
        <v>210</v>
      </c>
      <c r="F14" s="12"/>
      <c r="G14" s="12"/>
      <c r="H14" s="12" t="s">
        <v>10</v>
      </c>
      <c r="I14" s="12"/>
      <c r="J14" s="14"/>
    </row>
    <row r="15" spans="1:16">
      <c r="A15" s="8">
        <v>45933</v>
      </c>
      <c r="B15" s="12">
        <v>9627</v>
      </c>
      <c r="C15" s="13" t="s">
        <v>82</v>
      </c>
      <c r="D15" s="12">
        <v>99</v>
      </c>
      <c r="E15" s="12">
        <v>99</v>
      </c>
      <c r="F15" s="12"/>
      <c r="G15" s="12"/>
      <c r="H15" s="12" t="s">
        <v>10</v>
      </c>
      <c r="I15" s="12"/>
      <c r="J15" s="14"/>
    </row>
    <row r="16" spans="1:16">
      <c r="A16" s="8">
        <v>45933</v>
      </c>
      <c r="B16" s="12">
        <v>6639</v>
      </c>
      <c r="C16" s="13" t="s">
        <v>9</v>
      </c>
      <c r="D16" s="12">
        <v>390</v>
      </c>
      <c r="E16" s="12">
        <v>390</v>
      </c>
      <c r="F16" s="12"/>
      <c r="G16" s="12"/>
      <c r="H16" s="12" t="s">
        <v>10</v>
      </c>
      <c r="I16" s="12"/>
      <c r="J16" s="14"/>
    </row>
    <row r="17" spans="1:10">
      <c r="A17" s="8">
        <v>45933</v>
      </c>
      <c r="B17" s="12">
        <v>1909</v>
      </c>
      <c r="C17" s="13" t="s">
        <v>83</v>
      </c>
      <c r="D17" s="12">
        <v>234</v>
      </c>
      <c r="E17" s="12">
        <v>234</v>
      </c>
      <c r="F17" s="12"/>
      <c r="G17" s="12"/>
      <c r="H17" s="12" t="s">
        <v>10</v>
      </c>
      <c r="I17" s="12"/>
      <c r="J17" s="14"/>
    </row>
    <row r="18" spans="1:10">
      <c r="A18" s="8">
        <v>45933</v>
      </c>
      <c r="B18" s="12">
        <v>1650</v>
      </c>
      <c r="C18" s="13" t="s">
        <v>84</v>
      </c>
      <c r="D18" s="12">
        <v>82</v>
      </c>
      <c r="E18" s="12">
        <v>82</v>
      </c>
      <c r="F18" s="12"/>
      <c r="G18" s="12"/>
      <c r="H18" s="12" t="s">
        <v>10</v>
      </c>
      <c r="I18" s="12"/>
      <c r="J18" s="14"/>
    </row>
    <row r="19" spans="1:10">
      <c r="A19" s="8">
        <v>45933</v>
      </c>
      <c r="B19" s="12">
        <v>1845</v>
      </c>
      <c r="C19" s="13" t="s">
        <v>85</v>
      </c>
      <c r="D19" s="12">
        <v>576</v>
      </c>
      <c r="E19" s="12">
        <v>576</v>
      </c>
      <c r="F19" s="12"/>
      <c r="G19" s="12"/>
      <c r="H19" s="12" t="s">
        <v>10</v>
      </c>
      <c r="I19" s="12"/>
      <c r="J19" s="14"/>
    </row>
    <row r="20" spans="1:10">
      <c r="A20" s="8">
        <v>45933</v>
      </c>
      <c r="B20" s="12">
        <v>1632</v>
      </c>
      <c r="C20" s="13" t="s">
        <v>78</v>
      </c>
      <c r="D20" s="12">
        <v>534</v>
      </c>
      <c r="E20" s="12">
        <v>534</v>
      </c>
      <c r="F20" s="12"/>
      <c r="G20" s="12"/>
      <c r="H20" s="12" t="s">
        <v>10</v>
      </c>
      <c r="I20" s="12"/>
      <c r="J20" s="14"/>
    </row>
    <row r="21" spans="1:10">
      <c r="A21" s="8">
        <v>45933</v>
      </c>
      <c r="B21" s="12">
        <v>845</v>
      </c>
      <c r="C21" s="13" t="s">
        <v>24</v>
      </c>
      <c r="D21" s="12">
        <v>360</v>
      </c>
      <c r="E21" s="12">
        <v>360</v>
      </c>
      <c r="F21" s="12"/>
      <c r="G21" s="12"/>
      <c r="H21" s="12" t="s">
        <v>10</v>
      </c>
      <c r="I21" s="12"/>
      <c r="J21" s="14"/>
    </row>
    <row r="22" spans="1:10">
      <c r="A22" s="8">
        <v>45933</v>
      </c>
      <c r="B22" s="12">
        <v>632</v>
      </c>
      <c r="C22" s="13" t="s">
        <v>29</v>
      </c>
      <c r="D22" s="12">
        <v>264</v>
      </c>
      <c r="E22" s="12">
        <v>264</v>
      </c>
      <c r="F22" s="12"/>
      <c r="G22" s="12"/>
      <c r="H22" s="12" t="s">
        <v>10</v>
      </c>
      <c r="I22" s="12"/>
      <c r="J22" s="14"/>
    </row>
    <row r="23" spans="1:10">
      <c r="A23" s="8">
        <v>45933</v>
      </c>
      <c r="B23" s="12">
        <v>625</v>
      </c>
      <c r="C23" s="13" t="s">
        <v>12</v>
      </c>
      <c r="D23" s="12">
        <v>476</v>
      </c>
      <c r="E23" s="12">
        <v>476</v>
      </c>
      <c r="F23" s="12"/>
      <c r="G23" s="12"/>
      <c r="H23" s="12" t="s">
        <v>10</v>
      </c>
      <c r="I23" s="12"/>
      <c r="J23" s="14"/>
    </row>
    <row r="24" spans="1:10">
      <c r="A24" s="8">
        <v>45933</v>
      </c>
      <c r="B24" s="12">
        <v>656</v>
      </c>
      <c r="C24" s="13" t="s">
        <v>73</v>
      </c>
      <c r="D24" s="12">
        <v>168</v>
      </c>
      <c r="E24" s="12">
        <v>168</v>
      </c>
      <c r="F24" s="12"/>
      <c r="G24" s="12"/>
      <c r="H24" s="12" t="s">
        <v>10</v>
      </c>
      <c r="I24" s="12"/>
      <c r="J24" s="14"/>
    </row>
    <row r="25" spans="1:10">
      <c r="A25" s="8">
        <v>45933</v>
      </c>
      <c r="B25" s="12">
        <v>8839</v>
      </c>
      <c r="C25" s="13" t="s">
        <v>20</v>
      </c>
      <c r="D25" s="12">
        <v>196</v>
      </c>
      <c r="E25" s="12">
        <v>196</v>
      </c>
      <c r="F25" s="12"/>
      <c r="G25" s="12"/>
      <c r="H25" s="12" t="s">
        <v>10</v>
      </c>
      <c r="I25" s="12"/>
      <c r="J25" s="14"/>
    </row>
    <row r="26" spans="1:10">
      <c r="A26" s="8">
        <v>45934</v>
      </c>
      <c r="B26" s="12">
        <v>632</v>
      </c>
      <c r="C26" s="13" t="s">
        <v>29</v>
      </c>
      <c r="D26" s="12">
        <v>648</v>
      </c>
      <c r="E26" s="12">
        <v>648</v>
      </c>
      <c r="F26" s="12"/>
      <c r="G26" s="12"/>
      <c r="H26" s="12" t="s">
        <v>10</v>
      </c>
      <c r="I26" s="12">
        <f>SUM(E26:E34)</f>
        <v>1929</v>
      </c>
      <c r="J26" s="14"/>
    </row>
    <row r="27" spans="1:10">
      <c r="A27" s="8">
        <v>45934</v>
      </c>
      <c r="B27" s="12">
        <v>625</v>
      </c>
      <c r="C27" s="13" t="s">
        <v>12</v>
      </c>
      <c r="D27" s="12">
        <v>426</v>
      </c>
      <c r="E27" s="12">
        <v>426</v>
      </c>
      <c r="F27" s="12"/>
      <c r="G27" s="12"/>
      <c r="H27" s="12" t="s">
        <v>10</v>
      </c>
      <c r="I27" s="12"/>
      <c r="J27" s="14"/>
    </row>
    <row r="28" spans="1:10">
      <c r="A28" s="8">
        <v>45934</v>
      </c>
      <c r="B28" s="12">
        <v>909</v>
      </c>
      <c r="C28" s="13" t="s">
        <v>11</v>
      </c>
      <c r="D28" s="12">
        <v>369</v>
      </c>
      <c r="E28" s="12">
        <v>369</v>
      </c>
      <c r="F28" s="12"/>
      <c r="G28" s="12"/>
      <c r="H28" s="12" t="s">
        <v>10</v>
      </c>
      <c r="I28" s="12"/>
      <c r="J28" s="14"/>
    </row>
    <row r="29" spans="1:10">
      <c r="A29" s="8">
        <v>45934</v>
      </c>
      <c r="B29" s="12">
        <v>6639</v>
      </c>
      <c r="C29" s="13" t="s">
        <v>9</v>
      </c>
      <c r="D29" s="12">
        <v>99</v>
      </c>
      <c r="E29" s="12">
        <v>99</v>
      </c>
      <c r="F29" s="12"/>
      <c r="G29" s="12"/>
      <c r="H29" s="12" t="s">
        <v>10</v>
      </c>
      <c r="I29" s="12"/>
      <c r="J29" s="14"/>
    </row>
    <row r="30" spans="1:10">
      <c r="A30" s="8">
        <v>45934</v>
      </c>
      <c r="B30" s="12">
        <v>1650</v>
      </c>
      <c r="C30" s="13" t="s">
        <v>84</v>
      </c>
      <c r="D30" s="12">
        <v>73</v>
      </c>
      <c r="E30" s="12">
        <v>73</v>
      </c>
      <c r="F30" s="12"/>
      <c r="G30" s="12"/>
      <c r="H30" s="12" t="s">
        <v>10</v>
      </c>
      <c r="I30" s="12"/>
      <c r="J30" s="14"/>
    </row>
    <row r="31" spans="1:10">
      <c r="A31" s="8">
        <v>45934</v>
      </c>
      <c r="B31" s="12">
        <v>9909</v>
      </c>
      <c r="C31" s="13" t="s">
        <v>86</v>
      </c>
      <c r="D31" s="12">
        <v>98</v>
      </c>
      <c r="E31" s="12">
        <v>98</v>
      </c>
      <c r="F31" s="12"/>
      <c r="G31" s="12"/>
      <c r="H31" s="12" t="s">
        <v>10</v>
      </c>
      <c r="I31" s="12"/>
      <c r="J31" s="14"/>
    </row>
    <row r="32" spans="1:10">
      <c r="A32" s="8">
        <v>45934</v>
      </c>
      <c r="B32" s="12">
        <v>9632</v>
      </c>
      <c r="C32" s="13" t="s">
        <v>75</v>
      </c>
      <c r="D32" s="12">
        <v>57</v>
      </c>
      <c r="E32" s="12">
        <v>57</v>
      </c>
      <c r="F32" s="12"/>
      <c r="G32" s="12"/>
      <c r="H32" s="12" t="s">
        <v>10</v>
      </c>
      <c r="I32" s="12"/>
      <c r="J32" s="14"/>
    </row>
    <row r="33" spans="1:10">
      <c r="A33" s="8">
        <v>45934</v>
      </c>
      <c r="B33" s="12">
        <v>9623</v>
      </c>
      <c r="C33" s="13" t="s">
        <v>87</v>
      </c>
      <c r="D33" s="12">
        <v>156</v>
      </c>
      <c r="E33" s="12">
        <v>156</v>
      </c>
      <c r="F33" s="12"/>
      <c r="G33" s="12"/>
      <c r="H33" s="12" t="s">
        <v>10</v>
      </c>
      <c r="I33" s="12"/>
      <c r="J33" s="14"/>
    </row>
    <row r="34" spans="1:10">
      <c r="A34" s="8">
        <v>45934</v>
      </c>
      <c r="B34" s="12">
        <v>9845</v>
      </c>
      <c r="C34" s="13" t="s">
        <v>80</v>
      </c>
      <c r="D34" s="12">
        <v>3</v>
      </c>
      <c r="E34" s="12">
        <v>3</v>
      </c>
      <c r="F34" s="12"/>
      <c r="G34" s="12"/>
      <c r="H34" s="12" t="s">
        <v>10</v>
      </c>
      <c r="I34" s="12"/>
      <c r="J34" s="14"/>
    </row>
    <row r="35" spans="1:10">
      <c r="A35" s="8">
        <v>45935</v>
      </c>
      <c r="B35" s="12">
        <v>632</v>
      </c>
      <c r="C35" s="13" t="s">
        <v>29</v>
      </c>
      <c r="D35" s="12">
        <v>318</v>
      </c>
      <c r="E35" s="12">
        <v>318</v>
      </c>
      <c r="F35" s="12"/>
      <c r="G35" s="12"/>
      <c r="H35" s="12" t="s">
        <v>10</v>
      </c>
      <c r="I35" s="12">
        <f>SUM(E35:E43)</f>
        <v>2078</v>
      </c>
      <c r="J35" s="14"/>
    </row>
    <row r="36" spans="1:10">
      <c r="A36" s="8">
        <v>45935</v>
      </c>
      <c r="B36" s="12">
        <v>909</v>
      </c>
      <c r="C36" s="13" t="s">
        <v>11</v>
      </c>
      <c r="D36" s="12">
        <v>318</v>
      </c>
      <c r="E36" s="12">
        <v>318</v>
      </c>
      <c r="F36" s="12"/>
      <c r="G36" s="12"/>
      <c r="H36" s="12" t="s">
        <v>10</v>
      </c>
      <c r="I36" s="12"/>
      <c r="J36" s="14"/>
    </row>
    <row r="37" spans="1:10">
      <c r="A37" s="8">
        <v>45935</v>
      </c>
      <c r="B37" s="12">
        <v>625</v>
      </c>
      <c r="C37" s="13" t="s">
        <v>12</v>
      </c>
      <c r="D37" s="12">
        <v>368</v>
      </c>
      <c r="E37" s="12">
        <v>368</v>
      </c>
      <c r="F37" s="12"/>
      <c r="G37" s="12"/>
      <c r="H37" s="12" t="s">
        <v>10</v>
      </c>
      <c r="I37" s="12"/>
      <c r="J37" s="14"/>
    </row>
    <row r="38" spans="1:10">
      <c r="A38" s="8">
        <v>45935</v>
      </c>
      <c r="B38" s="12">
        <v>1861</v>
      </c>
      <c r="C38" s="13" t="s">
        <v>14</v>
      </c>
      <c r="D38" s="12">
        <v>324</v>
      </c>
      <c r="E38" s="12">
        <v>324</v>
      </c>
      <c r="F38" s="12"/>
      <c r="G38" s="12"/>
      <c r="H38" s="12" t="s">
        <v>10</v>
      </c>
      <c r="I38" s="12"/>
      <c r="J38" s="14"/>
    </row>
    <row r="39" spans="1:10">
      <c r="A39" s="8">
        <v>45935</v>
      </c>
      <c r="B39" s="12">
        <v>908</v>
      </c>
      <c r="C39" s="13" t="s">
        <v>23</v>
      </c>
      <c r="D39" s="12">
        <v>204</v>
      </c>
      <c r="E39" s="12">
        <v>204</v>
      </c>
      <c r="F39" s="12"/>
      <c r="G39" s="12"/>
      <c r="H39" s="12" t="s">
        <v>10</v>
      </c>
      <c r="I39" s="12"/>
      <c r="J39" s="14"/>
    </row>
    <row r="40" spans="1:10">
      <c r="A40" s="8">
        <v>45935</v>
      </c>
      <c r="B40" s="12">
        <v>6639</v>
      </c>
      <c r="C40" s="13" t="s">
        <v>9</v>
      </c>
      <c r="D40" s="12">
        <v>246</v>
      </c>
      <c r="E40" s="12">
        <v>246</v>
      </c>
      <c r="F40" s="12"/>
      <c r="G40" s="12"/>
      <c r="H40" s="12" t="s">
        <v>10</v>
      </c>
      <c r="I40" s="12"/>
      <c r="J40" s="14"/>
    </row>
    <row r="41" spans="1:10">
      <c r="A41" s="8">
        <v>45935</v>
      </c>
      <c r="B41" s="12">
        <v>653</v>
      </c>
      <c r="C41" s="13" t="s">
        <v>74</v>
      </c>
      <c r="D41" s="12">
        <v>200</v>
      </c>
      <c r="E41" s="12">
        <v>200</v>
      </c>
      <c r="F41" s="12"/>
      <c r="G41" s="12"/>
      <c r="H41" s="12" t="s">
        <v>10</v>
      </c>
      <c r="I41" s="12"/>
      <c r="J41" s="14"/>
    </row>
    <row r="42" spans="1:10">
      <c r="A42" s="8">
        <v>45935</v>
      </c>
      <c r="B42" s="12">
        <v>1639</v>
      </c>
      <c r="C42" s="13" t="s">
        <v>88</v>
      </c>
      <c r="D42" s="12">
        <v>12</v>
      </c>
      <c r="E42" s="12">
        <v>12</v>
      </c>
      <c r="F42" s="12"/>
      <c r="G42" s="12"/>
      <c r="H42" s="12" t="s">
        <v>10</v>
      </c>
      <c r="I42" s="12"/>
      <c r="J42" s="14"/>
    </row>
    <row r="43" spans="1:10">
      <c r="A43" s="8">
        <v>45935</v>
      </c>
      <c r="B43" s="12">
        <v>9908</v>
      </c>
      <c r="C43" s="13" t="s">
        <v>89</v>
      </c>
      <c r="D43" s="12">
        <v>88</v>
      </c>
      <c r="E43" s="12">
        <v>88</v>
      </c>
      <c r="F43" s="12"/>
      <c r="G43" s="12"/>
      <c r="H43" s="12" t="s">
        <v>10</v>
      </c>
      <c r="I43" s="12"/>
      <c r="J43" s="14"/>
    </row>
    <row r="44" spans="1:10">
      <c r="A44" s="8">
        <v>45938</v>
      </c>
      <c r="B44" s="12">
        <v>1632</v>
      </c>
      <c r="C44" s="13" t="s">
        <v>78</v>
      </c>
      <c r="D44" s="12">
        <v>368</v>
      </c>
      <c r="E44" s="12">
        <v>368</v>
      </c>
      <c r="F44" s="12"/>
      <c r="G44" s="12"/>
      <c r="H44" s="12" t="s">
        <v>10</v>
      </c>
      <c r="I44" s="12">
        <f>SUM(E44:E63)</f>
        <v>4629</v>
      </c>
      <c r="J44" s="14"/>
    </row>
    <row r="45" spans="1:10">
      <c r="A45" s="8">
        <v>45938</v>
      </c>
      <c r="B45" s="12">
        <v>1625</v>
      </c>
      <c r="C45" s="13" t="s">
        <v>90</v>
      </c>
      <c r="D45" s="12">
        <v>304</v>
      </c>
      <c r="E45" s="12">
        <v>304</v>
      </c>
      <c r="F45" s="12"/>
      <c r="G45" s="12"/>
      <c r="H45" s="12" t="s">
        <v>10</v>
      </c>
      <c r="I45" s="12"/>
      <c r="J45" s="14"/>
    </row>
    <row r="46" spans="1:10">
      <c r="A46" s="8">
        <v>45938</v>
      </c>
      <c r="B46" s="12">
        <v>1908</v>
      </c>
      <c r="C46" s="13" t="s">
        <v>77</v>
      </c>
      <c r="D46" s="12">
        <v>130</v>
      </c>
      <c r="E46" s="12">
        <v>130</v>
      </c>
      <c r="F46" s="12"/>
      <c r="G46" s="12"/>
      <c r="H46" s="12" t="s">
        <v>10</v>
      </c>
      <c r="I46" s="12"/>
      <c r="J46" s="14"/>
    </row>
    <row r="47" spans="1:10">
      <c r="A47" s="8">
        <v>45938</v>
      </c>
      <c r="B47" s="12">
        <v>1909</v>
      </c>
      <c r="C47" s="13" t="s">
        <v>83</v>
      </c>
      <c r="D47" s="12">
        <v>159</v>
      </c>
      <c r="E47" s="12">
        <v>159</v>
      </c>
      <c r="F47" s="12"/>
      <c r="G47" s="12"/>
      <c r="H47" s="12" t="s">
        <v>10</v>
      </c>
      <c r="I47" s="12"/>
      <c r="J47" s="14"/>
    </row>
    <row r="48" spans="1:10">
      <c r="A48" s="8">
        <v>45938</v>
      </c>
      <c r="B48" s="12">
        <v>9845</v>
      </c>
      <c r="C48" s="13" t="s">
        <v>80</v>
      </c>
      <c r="D48" s="12">
        <v>174</v>
      </c>
      <c r="E48" s="12">
        <v>174</v>
      </c>
      <c r="F48" s="12"/>
      <c r="G48" s="12"/>
      <c r="H48" s="12" t="s">
        <v>10</v>
      </c>
      <c r="I48" s="12"/>
      <c r="J48" s="14"/>
    </row>
    <row r="49" spans="1:10">
      <c r="A49" s="8">
        <v>45938</v>
      </c>
      <c r="B49" s="12">
        <v>9632</v>
      </c>
      <c r="C49" s="13" t="s">
        <v>75</v>
      </c>
      <c r="D49" s="12">
        <v>64</v>
      </c>
      <c r="E49" s="12">
        <v>64</v>
      </c>
      <c r="F49" s="12"/>
      <c r="G49" s="12"/>
      <c r="H49" s="12" t="s">
        <v>10</v>
      </c>
      <c r="I49" s="12"/>
      <c r="J49" s="14"/>
    </row>
    <row r="50" spans="1:10">
      <c r="A50" s="8">
        <v>45938</v>
      </c>
      <c r="B50" s="12">
        <v>908</v>
      </c>
      <c r="C50" s="13" t="s">
        <v>23</v>
      </c>
      <c r="D50" s="12">
        <v>81</v>
      </c>
      <c r="E50" s="12">
        <v>81</v>
      </c>
      <c r="F50" s="12"/>
      <c r="G50" s="12"/>
      <c r="H50" s="12" t="s">
        <v>10</v>
      </c>
      <c r="I50" s="12"/>
      <c r="J50" s="14"/>
    </row>
    <row r="51" spans="1:10">
      <c r="A51" s="8">
        <v>45938</v>
      </c>
      <c r="B51" s="12">
        <v>909</v>
      </c>
      <c r="C51" s="13" t="s">
        <v>11</v>
      </c>
      <c r="D51" s="12">
        <v>477</v>
      </c>
      <c r="E51" s="12">
        <v>477</v>
      </c>
      <c r="F51" s="12"/>
      <c r="G51" s="12"/>
      <c r="H51" s="12" t="s">
        <v>10</v>
      </c>
      <c r="I51" s="12"/>
      <c r="J51" s="14"/>
    </row>
    <row r="52" spans="1:10">
      <c r="A52" s="8">
        <v>45938</v>
      </c>
      <c r="B52" s="12">
        <v>981</v>
      </c>
      <c r="C52" s="13" t="s">
        <v>13</v>
      </c>
      <c r="D52" s="12">
        <v>620</v>
      </c>
      <c r="E52" s="12">
        <v>620</v>
      </c>
      <c r="F52" s="12"/>
      <c r="G52" s="12"/>
      <c r="H52" s="12" t="s">
        <v>10</v>
      </c>
      <c r="I52" s="12"/>
      <c r="J52" s="14"/>
    </row>
    <row r="53" spans="1:10">
      <c r="A53" s="8">
        <v>45938</v>
      </c>
      <c r="B53" s="12">
        <v>627</v>
      </c>
      <c r="C53" s="13" t="s">
        <v>71</v>
      </c>
      <c r="D53" s="12">
        <v>339</v>
      </c>
      <c r="E53" s="12">
        <v>339</v>
      </c>
      <c r="F53" s="12"/>
      <c r="G53" s="12"/>
      <c r="H53" s="12" t="s">
        <v>10</v>
      </c>
      <c r="I53" s="12"/>
      <c r="J53" s="14"/>
    </row>
    <row r="54" spans="1:10">
      <c r="A54" s="8">
        <v>45938</v>
      </c>
      <c r="B54" s="12">
        <v>846</v>
      </c>
      <c r="C54" s="13" t="s">
        <v>76</v>
      </c>
      <c r="D54" s="12">
        <v>284</v>
      </c>
      <c r="E54" s="12">
        <v>284</v>
      </c>
      <c r="F54" s="12"/>
      <c r="G54" s="12"/>
      <c r="H54" s="12" t="s">
        <v>10</v>
      </c>
      <c r="I54" s="12"/>
      <c r="J54" s="14"/>
    </row>
    <row r="55" spans="1:10">
      <c r="A55" s="8">
        <v>45938</v>
      </c>
      <c r="B55" s="12">
        <v>625</v>
      </c>
      <c r="C55" s="13" t="s">
        <v>12</v>
      </c>
      <c r="D55" s="12">
        <v>404</v>
      </c>
      <c r="E55" s="12">
        <v>404</v>
      </c>
      <c r="F55" s="12"/>
      <c r="G55" s="12"/>
      <c r="H55" s="12" t="s">
        <v>10</v>
      </c>
      <c r="I55" s="12"/>
      <c r="J55" s="14"/>
    </row>
    <row r="56" spans="1:10">
      <c r="A56" s="8">
        <v>45938</v>
      </c>
      <c r="B56" s="12">
        <v>656</v>
      </c>
      <c r="C56" s="13" t="s">
        <v>73</v>
      </c>
      <c r="D56" s="12">
        <v>292</v>
      </c>
      <c r="E56" s="12">
        <v>292</v>
      </c>
      <c r="F56" s="12"/>
      <c r="G56" s="12"/>
      <c r="H56" s="12" t="s">
        <v>10</v>
      </c>
      <c r="I56" s="12"/>
      <c r="J56" s="14"/>
    </row>
    <row r="57" spans="1:10">
      <c r="A57" s="8">
        <v>45938</v>
      </c>
      <c r="B57" s="12">
        <v>1656</v>
      </c>
      <c r="C57" s="13" t="s">
        <v>91</v>
      </c>
      <c r="D57" s="12">
        <v>80</v>
      </c>
      <c r="E57" s="12">
        <v>80</v>
      </c>
      <c r="F57" s="12"/>
      <c r="G57" s="12"/>
      <c r="H57" s="12" t="s">
        <v>10</v>
      </c>
      <c r="I57" s="12"/>
      <c r="J57" s="14"/>
    </row>
    <row r="58" spans="1:10">
      <c r="A58" s="8">
        <v>45938</v>
      </c>
      <c r="B58" s="12">
        <v>1627</v>
      </c>
      <c r="C58" s="13" t="s">
        <v>79</v>
      </c>
      <c r="D58" s="12">
        <v>404</v>
      </c>
      <c r="E58" s="12">
        <v>404</v>
      </c>
      <c r="F58" s="12"/>
      <c r="G58" s="12"/>
      <c r="H58" s="12" t="s">
        <v>10</v>
      </c>
      <c r="I58" s="12"/>
      <c r="J58" s="14"/>
    </row>
    <row r="59" spans="1:10">
      <c r="A59" s="8">
        <v>45938</v>
      </c>
      <c r="B59" s="12">
        <v>650</v>
      </c>
      <c r="C59" s="13" t="s">
        <v>92</v>
      </c>
      <c r="D59" s="12">
        <v>102</v>
      </c>
      <c r="E59" s="12">
        <v>102</v>
      </c>
      <c r="F59" s="12"/>
      <c r="G59" s="12"/>
      <c r="H59" s="12" t="s">
        <v>10</v>
      </c>
      <c r="I59" s="12"/>
      <c r="J59" s="14"/>
    </row>
    <row r="60" spans="1:10">
      <c r="A60" s="8">
        <v>45938</v>
      </c>
      <c r="B60" s="12">
        <v>6639</v>
      </c>
      <c r="C60" s="13" t="s">
        <v>9</v>
      </c>
      <c r="D60" s="12">
        <v>180</v>
      </c>
      <c r="E60" s="12">
        <v>180</v>
      </c>
      <c r="F60" s="12"/>
      <c r="G60" s="12"/>
      <c r="H60" s="12" t="s">
        <v>10</v>
      </c>
      <c r="I60" s="12"/>
      <c r="J60" s="14"/>
    </row>
    <row r="61" spans="1:10">
      <c r="A61" s="8">
        <v>45938</v>
      </c>
      <c r="B61" s="12">
        <v>659</v>
      </c>
      <c r="C61" s="13" t="s">
        <v>21</v>
      </c>
      <c r="D61" s="12">
        <v>162</v>
      </c>
      <c r="E61" s="12">
        <v>162</v>
      </c>
      <c r="F61" s="12"/>
      <c r="G61" s="12"/>
      <c r="H61" s="12" t="s">
        <v>10</v>
      </c>
      <c r="I61" s="12"/>
      <c r="J61" s="14"/>
    </row>
    <row r="62" spans="1:10">
      <c r="A62" s="8">
        <v>45938</v>
      </c>
      <c r="B62" s="12">
        <v>1909</v>
      </c>
      <c r="C62" s="13" t="s">
        <v>83</v>
      </c>
      <c r="D62" s="12">
        <v>1</v>
      </c>
      <c r="E62" s="12">
        <v>1</v>
      </c>
      <c r="F62" s="12"/>
      <c r="G62" s="12"/>
      <c r="H62" s="12" t="s">
        <v>10</v>
      </c>
      <c r="I62" s="12"/>
      <c r="J62" s="14"/>
    </row>
    <row r="63" spans="1:10">
      <c r="A63" s="8">
        <v>45938</v>
      </c>
      <c r="B63" s="12">
        <v>1908</v>
      </c>
      <c r="C63" s="13" t="s">
        <v>77</v>
      </c>
      <c r="D63" s="12">
        <v>4</v>
      </c>
      <c r="E63" s="12">
        <v>4</v>
      </c>
      <c r="F63" s="12"/>
      <c r="G63" s="12"/>
      <c r="H63" s="12" t="s">
        <v>10</v>
      </c>
      <c r="I63" s="12"/>
      <c r="J63" s="14"/>
    </row>
    <row r="64" spans="1:10">
      <c r="A64" s="8">
        <v>45939</v>
      </c>
      <c r="B64" s="12">
        <v>625</v>
      </c>
      <c r="C64" s="13" t="s">
        <v>12</v>
      </c>
      <c r="D64" s="12">
        <v>396</v>
      </c>
      <c r="E64" s="12">
        <v>396</v>
      </c>
      <c r="F64" s="12"/>
      <c r="G64" s="12"/>
      <c r="H64" s="12" t="s">
        <v>10</v>
      </c>
      <c r="I64" s="12">
        <f>SUM(E64:E72)</f>
        <v>2640</v>
      </c>
      <c r="J64" s="14"/>
    </row>
    <row r="65" spans="1:10">
      <c r="A65" s="8">
        <v>45939</v>
      </c>
      <c r="B65" s="12">
        <v>627</v>
      </c>
      <c r="C65" s="13" t="s">
        <v>71</v>
      </c>
      <c r="D65" s="12">
        <v>340</v>
      </c>
      <c r="E65" s="12">
        <v>340</v>
      </c>
      <c r="F65" s="12"/>
      <c r="G65" s="12"/>
      <c r="H65" s="12" t="s">
        <v>10</v>
      </c>
      <c r="I65" s="12"/>
      <c r="J65" s="14"/>
    </row>
    <row r="66" spans="1:10">
      <c r="A66" s="8">
        <v>45939</v>
      </c>
      <c r="B66" s="12">
        <v>909</v>
      </c>
      <c r="C66" s="13" t="s">
        <v>11</v>
      </c>
      <c r="D66" s="12">
        <v>606</v>
      </c>
      <c r="E66" s="12">
        <v>606</v>
      </c>
      <c r="F66" s="12"/>
      <c r="G66" s="12"/>
      <c r="H66" s="12" t="s">
        <v>10</v>
      </c>
      <c r="I66" s="12"/>
      <c r="J66" s="14"/>
    </row>
    <row r="67" spans="1:10">
      <c r="A67" s="8">
        <v>45939</v>
      </c>
      <c r="B67" s="12">
        <v>6639</v>
      </c>
      <c r="C67" s="13" t="s">
        <v>9</v>
      </c>
      <c r="D67" s="12">
        <v>420</v>
      </c>
      <c r="E67" s="12">
        <v>420</v>
      </c>
      <c r="F67" s="12"/>
      <c r="G67" s="12"/>
      <c r="H67" s="12" t="s">
        <v>10</v>
      </c>
      <c r="I67" s="12"/>
      <c r="J67" s="14"/>
    </row>
    <row r="68" spans="1:10">
      <c r="A68" s="8">
        <v>45939</v>
      </c>
      <c r="B68" s="12">
        <v>845</v>
      </c>
      <c r="C68" s="13" t="s">
        <v>24</v>
      </c>
      <c r="D68" s="12">
        <v>390</v>
      </c>
      <c r="E68" s="12">
        <v>390</v>
      </c>
      <c r="F68" s="12"/>
      <c r="G68" s="12"/>
      <c r="H68" s="12" t="s">
        <v>10</v>
      </c>
      <c r="I68" s="12"/>
      <c r="J68" s="14"/>
    </row>
    <row r="69" spans="1:10">
      <c r="A69" s="8">
        <v>45939</v>
      </c>
      <c r="B69" s="12">
        <v>1845</v>
      </c>
      <c r="C69" s="13" t="s">
        <v>85</v>
      </c>
      <c r="D69" s="12">
        <v>240</v>
      </c>
      <c r="E69" s="12">
        <v>240</v>
      </c>
      <c r="F69" s="12"/>
      <c r="G69" s="12"/>
      <c r="H69" s="12" t="s">
        <v>10</v>
      </c>
      <c r="I69" s="12"/>
      <c r="J69" s="14"/>
    </row>
    <row r="70" spans="1:10">
      <c r="A70" s="8">
        <v>45939</v>
      </c>
      <c r="B70" s="12">
        <v>9839</v>
      </c>
      <c r="C70" s="13" t="s">
        <v>93</v>
      </c>
      <c r="D70" s="12">
        <v>90</v>
      </c>
      <c r="E70" s="12">
        <v>90</v>
      </c>
      <c r="F70" s="12"/>
      <c r="G70" s="12"/>
      <c r="H70" s="12" t="s">
        <v>10</v>
      </c>
      <c r="I70" s="12"/>
      <c r="J70" s="14"/>
    </row>
    <row r="71" spans="1:10">
      <c r="A71" s="8">
        <v>45939</v>
      </c>
      <c r="B71" s="12">
        <v>1632</v>
      </c>
      <c r="C71" s="13" t="s">
        <v>78</v>
      </c>
      <c r="D71" s="12">
        <v>5</v>
      </c>
      <c r="E71" s="12">
        <v>5</v>
      </c>
      <c r="F71" s="12"/>
      <c r="G71" s="12"/>
      <c r="H71" s="12" t="s">
        <v>10</v>
      </c>
      <c r="I71" s="12"/>
      <c r="J71" s="14"/>
    </row>
    <row r="72" spans="1:10">
      <c r="A72" s="8">
        <v>45939</v>
      </c>
      <c r="B72" s="12">
        <v>1861</v>
      </c>
      <c r="C72" s="13" t="s">
        <v>14</v>
      </c>
      <c r="D72" s="12">
        <v>153</v>
      </c>
      <c r="E72" s="12">
        <v>153</v>
      </c>
      <c r="F72" s="12"/>
      <c r="G72" s="12"/>
      <c r="H72" s="12" t="s">
        <v>10</v>
      </c>
      <c r="I72" s="12"/>
      <c r="J72" s="14"/>
    </row>
    <row r="73" spans="1:10">
      <c r="A73" s="8">
        <v>45940</v>
      </c>
      <c r="B73" s="12">
        <v>632</v>
      </c>
      <c r="C73" s="13" t="s">
        <v>29</v>
      </c>
      <c r="D73" s="12">
        <v>376</v>
      </c>
      <c r="E73" s="12">
        <v>376</v>
      </c>
      <c r="F73" s="12"/>
      <c r="G73" s="12"/>
      <c r="H73" s="12" t="s">
        <v>10</v>
      </c>
      <c r="I73" s="12">
        <f>SUM(E73:E82)</f>
        <v>2472</v>
      </c>
      <c r="J73" s="14"/>
    </row>
    <row r="74" spans="1:10">
      <c r="A74" s="8">
        <v>45940</v>
      </c>
      <c r="B74" s="12">
        <v>625</v>
      </c>
      <c r="C74" s="13" t="s">
        <v>12</v>
      </c>
      <c r="D74" s="12">
        <v>308</v>
      </c>
      <c r="E74" s="12">
        <v>308</v>
      </c>
      <c r="F74" s="12"/>
      <c r="G74" s="12"/>
      <c r="H74" s="12" t="s">
        <v>10</v>
      </c>
      <c r="I74" s="12"/>
      <c r="J74" s="14"/>
    </row>
    <row r="75" spans="1:10">
      <c r="A75" s="8">
        <v>45940</v>
      </c>
      <c r="B75" s="12">
        <v>909</v>
      </c>
      <c r="C75" s="13" t="s">
        <v>11</v>
      </c>
      <c r="D75" s="12">
        <v>558</v>
      </c>
      <c r="E75" s="12">
        <v>558</v>
      </c>
      <c r="F75" s="12"/>
      <c r="G75" s="12"/>
      <c r="H75" s="12" t="s">
        <v>10</v>
      </c>
      <c r="I75" s="12"/>
      <c r="J75" s="14"/>
    </row>
    <row r="76" spans="1:10">
      <c r="A76" s="8">
        <v>45940</v>
      </c>
      <c r="B76" s="12">
        <v>908</v>
      </c>
      <c r="C76" s="13" t="s">
        <v>23</v>
      </c>
      <c r="D76" s="12">
        <v>174</v>
      </c>
      <c r="E76" s="12">
        <v>174</v>
      </c>
      <c r="F76" s="12"/>
      <c r="G76" s="12"/>
      <c r="H76" s="12" t="s">
        <v>10</v>
      </c>
      <c r="I76" s="12"/>
      <c r="J76" s="14"/>
    </row>
    <row r="77" spans="1:10">
      <c r="A77" s="8">
        <v>45940</v>
      </c>
      <c r="B77" s="12">
        <v>653</v>
      </c>
      <c r="C77" s="13" t="s">
        <v>74</v>
      </c>
      <c r="D77" s="12">
        <v>416</v>
      </c>
      <c r="E77" s="12">
        <v>416</v>
      </c>
      <c r="F77" s="12"/>
      <c r="G77" s="12"/>
      <c r="H77" s="12" t="s">
        <v>10</v>
      </c>
      <c r="I77" s="12"/>
      <c r="J77" s="14"/>
    </row>
    <row r="78" spans="1:10">
      <c r="A78" s="8">
        <v>45940</v>
      </c>
      <c r="B78" s="12">
        <v>627</v>
      </c>
      <c r="C78" s="13" t="s">
        <v>71</v>
      </c>
      <c r="D78" s="12">
        <v>20</v>
      </c>
      <c r="E78" s="12">
        <v>20</v>
      </c>
      <c r="F78" s="12"/>
      <c r="G78" s="12"/>
      <c r="H78" s="12" t="s">
        <v>10</v>
      </c>
      <c r="I78" s="12"/>
      <c r="J78" s="14"/>
    </row>
    <row r="79" spans="1:10">
      <c r="A79" s="8">
        <v>45940</v>
      </c>
      <c r="B79" s="12">
        <v>845</v>
      </c>
      <c r="C79" s="13" t="s">
        <v>24</v>
      </c>
      <c r="D79" s="12">
        <v>20</v>
      </c>
      <c r="E79" s="12">
        <v>20</v>
      </c>
      <c r="F79" s="12"/>
      <c r="G79" s="12"/>
      <c r="H79" s="12" t="s">
        <v>10</v>
      </c>
      <c r="I79" s="12"/>
      <c r="J79" s="14"/>
    </row>
    <row r="80" spans="1:10">
      <c r="A80" s="8">
        <v>45940</v>
      </c>
      <c r="B80" s="12">
        <v>6639</v>
      </c>
      <c r="C80" s="13" t="s">
        <v>9</v>
      </c>
      <c r="D80" s="12">
        <v>32</v>
      </c>
      <c r="E80" s="12">
        <v>32</v>
      </c>
      <c r="F80" s="12"/>
      <c r="G80" s="12"/>
      <c r="H80" s="12" t="s">
        <v>10</v>
      </c>
      <c r="I80" s="12"/>
      <c r="J80" s="14"/>
    </row>
    <row r="81" spans="1:10">
      <c r="A81" s="8">
        <v>45940</v>
      </c>
      <c r="B81" s="12">
        <v>659</v>
      </c>
      <c r="C81" s="13" t="s">
        <v>21</v>
      </c>
      <c r="D81" s="12">
        <v>288</v>
      </c>
      <c r="E81" s="12">
        <v>288</v>
      </c>
      <c r="F81" s="12"/>
      <c r="G81" s="12"/>
      <c r="H81" s="12" t="s">
        <v>10</v>
      </c>
      <c r="I81" s="12"/>
      <c r="J81" s="14"/>
    </row>
    <row r="82" spans="1:10">
      <c r="A82" s="8">
        <v>45940</v>
      </c>
      <c r="B82" s="12">
        <v>8839</v>
      </c>
      <c r="C82" s="13" t="s">
        <v>20</v>
      </c>
      <c r="D82" s="12">
        <v>280</v>
      </c>
      <c r="E82" s="12">
        <v>280</v>
      </c>
      <c r="F82" s="12"/>
      <c r="G82" s="12"/>
      <c r="H82" s="12" t="s">
        <v>10</v>
      </c>
      <c r="I82" s="12"/>
      <c r="J82" s="14"/>
    </row>
    <row r="83" spans="1:10">
      <c r="A83" s="8">
        <v>45941</v>
      </c>
      <c r="B83" s="12">
        <v>909</v>
      </c>
      <c r="C83" s="13" t="s">
        <v>11</v>
      </c>
      <c r="D83" s="12">
        <v>834</v>
      </c>
      <c r="E83" s="12">
        <v>834</v>
      </c>
      <c r="F83" s="12"/>
      <c r="G83" s="12"/>
      <c r="H83" s="12" t="s">
        <v>10</v>
      </c>
      <c r="I83" s="12">
        <f>SUM(E83:E88)</f>
        <v>2208</v>
      </c>
      <c r="J83" s="14"/>
    </row>
    <row r="84" spans="1:10">
      <c r="A84" s="8">
        <v>45941</v>
      </c>
      <c r="B84" s="12">
        <v>6639</v>
      </c>
      <c r="C84" s="13" t="s">
        <v>9</v>
      </c>
      <c r="D84" s="12">
        <v>426</v>
      </c>
      <c r="E84" s="12">
        <v>426</v>
      </c>
      <c r="F84" s="12"/>
      <c r="G84" s="12"/>
      <c r="H84" s="12" t="s">
        <v>10</v>
      </c>
      <c r="I84" s="12"/>
      <c r="J84" s="14"/>
    </row>
    <row r="85" spans="1:10">
      <c r="A85" s="8">
        <v>45941</v>
      </c>
      <c r="B85" s="12">
        <v>1909</v>
      </c>
      <c r="C85" s="13" t="s">
        <v>83</v>
      </c>
      <c r="D85" s="12">
        <v>234</v>
      </c>
      <c r="E85" s="12">
        <v>234</v>
      </c>
      <c r="F85" s="12"/>
      <c r="G85" s="12"/>
      <c r="H85" s="12" t="s">
        <v>10</v>
      </c>
      <c r="I85" s="12"/>
      <c r="J85" s="14"/>
    </row>
    <row r="86" spans="1:10">
      <c r="A86" s="8">
        <v>45941</v>
      </c>
      <c r="B86" s="12">
        <v>845</v>
      </c>
      <c r="C86" s="13" t="s">
        <v>24</v>
      </c>
      <c r="D86" s="12">
        <v>468</v>
      </c>
      <c r="E86" s="12">
        <v>468</v>
      </c>
      <c r="F86" s="12"/>
      <c r="G86" s="12"/>
      <c r="H86" s="12" t="s">
        <v>10</v>
      </c>
      <c r="I86" s="12"/>
      <c r="J86" s="14"/>
    </row>
    <row r="87" spans="1:10">
      <c r="A87" s="8">
        <v>45941</v>
      </c>
      <c r="B87" s="12">
        <v>1625</v>
      </c>
      <c r="C87" s="13" t="s">
        <v>90</v>
      </c>
      <c r="D87" s="12">
        <v>141</v>
      </c>
      <c r="E87" s="12">
        <v>141</v>
      </c>
      <c r="F87" s="12"/>
      <c r="G87" s="12"/>
      <c r="H87" s="12" t="s">
        <v>10</v>
      </c>
      <c r="I87" s="12"/>
      <c r="J87" s="14"/>
    </row>
    <row r="88" spans="1:10">
      <c r="A88" s="8">
        <v>45941</v>
      </c>
      <c r="B88" s="12">
        <v>1632</v>
      </c>
      <c r="C88" s="13" t="s">
        <v>78</v>
      </c>
      <c r="D88" s="12">
        <v>105</v>
      </c>
      <c r="E88" s="12">
        <v>105</v>
      </c>
      <c r="F88" s="12"/>
      <c r="G88" s="12"/>
      <c r="H88" s="12" t="s">
        <v>10</v>
      </c>
      <c r="I88" s="12"/>
      <c r="J88" s="14"/>
    </row>
    <row r="89" spans="1:10">
      <c r="A89" s="8">
        <v>45942</v>
      </c>
      <c r="B89" s="12">
        <v>908</v>
      </c>
      <c r="C89" s="13" t="s">
        <v>23</v>
      </c>
      <c r="D89" s="12">
        <v>390</v>
      </c>
      <c r="E89" s="12">
        <v>390</v>
      </c>
      <c r="F89" s="12"/>
      <c r="G89" s="12"/>
      <c r="H89" s="12" t="s">
        <v>10</v>
      </c>
      <c r="I89" s="12">
        <f>SUM(E89:E101)</f>
        <v>1259</v>
      </c>
      <c r="J89" s="14"/>
    </row>
    <row r="90" spans="1:10">
      <c r="A90" s="8">
        <v>45942</v>
      </c>
      <c r="B90" s="12">
        <v>656</v>
      </c>
      <c r="C90" s="13" t="s">
        <v>73</v>
      </c>
      <c r="D90" s="12">
        <v>186</v>
      </c>
      <c r="E90" s="12">
        <v>186</v>
      </c>
      <c r="F90" s="12"/>
      <c r="G90" s="12"/>
      <c r="H90" s="12" t="s">
        <v>10</v>
      </c>
      <c r="I90" s="12"/>
      <c r="J90" s="14"/>
    </row>
    <row r="91" spans="1:10">
      <c r="A91" s="8">
        <v>45942</v>
      </c>
      <c r="B91" s="12">
        <v>981</v>
      </c>
      <c r="C91" s="13" t="s">
        <v>13</v>
      </c>
      <c r="D91" s="12">
        <v>88</v>
      </c>
      <c r="E91" s="12">
        <v>88</v>
      </c>
      <c r="F91" s="12"/>
      <c r="G91" s="12"/>
      <c r="H91" s="12" t="s">
        <v>10</v>
      </c>
      <c r="I91" s="12"/>
      <c r="J91" s="14"/>
    </row>
    <row r="92" spans="1:10">
      <c r="A92" s="8">
        <v>45942</v>
      </c>
      <c r="B92" s="12">
        <v>627</v>
      </c>
      <c r="C92" s="13" t="s">
        <v>71</v>
      </c>
      <c r="D92" s="12">
        <v>4</v>
      </c>
      <c r="E92" s="12">
        <v>4</v>
      </c>
      <c r="F92" s="12"/>
      <c r="G92" s="12"/>
      <c r="H92" s="12" t="s">
        <v>10</v>
      </c>
      <c r="I92" s="12"/>
      <c r="J92" s="14"/>
    </row>
    <row r="93" spans="1:10">
      <c r="A93" s="8">
        <v>45942</v>
      </c>
      <c r="B93" s="12">
        <v>845</v>
      </c>
      <c r="C93" s="13" t="s">
        <v>24</v>
      </c>
      <c r="D93" s="12">
        <v>6</v>
      </c>
      <c r="E93" s="12">
        <v>6</v>
      </c>
      <c r="F93" s="12"/>
      <c r="G93" s="12"/>
      <c r="H93" s="12" t="s">
        <v>10</v>
      </c>
      <c r="I93" s="12"/>
      <c r="J93" s="14"/>
    </row>
    <row r="94" spans="1:10">
      <c r="A94" s="8">
        <v>45942</v>
      </c>
      <c r="B94" s="12">
        <v>846</v>
      </c>
      <c r="C94" s="13" t="s">
        <v>76</v>
      </c>
      <c r="D94" s="12">
        <v>6</v>
      </c>
      <c r="E94" s="12">
        <v>6</v>
      </c>
      <c r="F94" s="12"/>
      <c r="G94" s="12"/>
      <c r="H94" s="12" t="s">
        <v>10</v>
      </c>
      <c r="I94" s="12"/>
      <c r="J94" s="14"/>
    </row>
    <row r="95" spans="1:10">
      <c r="A95" s="8">
        <v>45942</v>
      </c>
      <c r="B95" s="12">
        <v>625</v>
      </c>
      <c r="C95" s="13" t="s">
        <v>12</v>
      </c>
      <c r="D95" s="12">
        <v>2</v>
      </c>
      <c r="E95" s="12">
        <v>2</v>
      </c>
      <c r="F95" s="12"/>
      <c r="G95" s="12"/>
      <c r="H95" s="12" t="s">
        <v>10</v>
      </c>
      <c r="I95" s="12"/>
      <c r="J95" s="14"/>
    </row>
    <row r="96" spans="1:10">
      <c r="A96" s="8">
        <v>45942</v>
      </c>
      <c r="B96" s="12">
        <v>653</v>
      </c>
      <c r="C96" s="13" t="s">
        <v>74</v>
      </c>
      <c r="D96" s="12">
        <v>2</v>
      </c>
      <c r="E96" s="12">
        <v>2</v>
      </c>
      <c r="F96" s="12"/>
      <c r="G96" s="12"/>
      <c r="H96" s="12" t="s">
        <v>10</v>
      </c>
      <c r="I96" s="12"/>
      <c r="J96" s="14"/>
    </row>
    <row r="97" spans="1:10">
      <c r="A97" s="8">
        <v>45942</v>
      </c>
      <c r="B97" s="12">
        <v>632</v>
      </c>
      <c r="C97" s="13" t="s">
        <v>29</v>
      </c>
      <c r="D97" s="12">
        <v>2</v>
      </c>
      <c r="E97" s="12">
        <v>2</v>
      </c>
      <c r="F97" s="12"/>
      <c r="G97" s="12"/>
      <c r="H97" s="12" t="s">
        <v>10</v>
      </c>
      <c r="I97" s="12"/>
      <c r="J97" s="14"/>
    </row>
    <row r="98" spans="1:10">
      <c r="A98" s="8">
        <v>45942</v>
      </c>
      <c r="B98" s="12">
        <v>8839</v>
      </c>
      <c r="C98" s="13" t="s">
        <v>20</v>
      </c>
      <c r="D98" s="12">
        <v>2</v>
      </c>
      <c r="E98" s="12">
        <v>2</v>
      </c>
      <c r="F98" s="12"/>
      <c r="G98" s="12"/>
      <c r="H98" s="12" t="s">
        <v>10</v>
      </c>
      <c r="I98" s="12"/>
      <c r="J98" s="14"/>
    </row>
    <row r="99" spans="1:10">
      <c r="A99" s="8">
        <v>45942</v>
      </c>
      <c r="B99" s="12">
        <v>1639</v>
      </c>
      <c r="C99" s="13" t="s">
        <v>88</v>
      </c>
      <c r="D99" s="12">
        <v>104</v>
      </c>
      <c r="E99" s="12">
        <v>104</v>
      </c>
      <c r="F99" s="12"/>
      <c r="G99" s="12"/>
      <c r="H99" s="12" t="s">
        <v>10</v>
      </c>
      <c r="I99" s="12"/>
      <c r="J99" s="14"/>
    </row>
    <row r="100" spans="1:10">
      <c r="A100" s="8">
        <v>45942</v>
      </c>
      <c r="B100" s="12">
        <v>1656</v>
      </c>
      <c r="C100" s="13" t="s">
        <v>91</v>
      </c>
      <c r="D100" s="12">
        <v>35</v>
      </c>
      <c r="E100" s="12">
        <v>35</v>
      </c>
      <c r="F100" s="12"/>
      <c r="G100" s="12"/>
      <c r="H100" s="12" t="s">
        <v>10</v>
      </c>
      <c r="I100" s="12"/>
      <c r="J100" s="14"/>
    </row>
    <row r="101" spans="1:10">
      <c r="A101" s="8">
        <v>45942</v>
      </c>
      <c r="B101" s="12">
        <v>660</v>
      </c>
      <c r="C101" s="13" t="s">
        <v>94</v>
      </c>
      <c r="D101" s="12">
        <v>432</v>
      </c>
      <c r="E101" s="12">
        <v>432</v>
      </c>
      <c r="F101" s="12"/>
      <c r="G101" s="12"/>
      <c r="H101" s="12" t="s">
        <v>10</v>
      </c>
      <c r="I101" s="12"/>
      <c r="J101" s="14"/>
    </row>
    <row r="102" spans="1:10">
      <c r="A102" s="8">
        <v>45944</v>
      </c>
      <c r="B102" s="12">
        <v>909</v>
      </c>
      <c r="C102" s="13" t="s">
        <v>11</v>
      </c>
      <c r="D102" s="12">
        <v>607</v>
      </c>
      <c r="E102" s="12">
        <v>607</v>
      </c>
      <c r="F102" s="12"/>
      <c r="G102" s="12"/>
      <c r="H102" s="12" t="s">
        <v>10</v>
      </c>
      <c r="I102" s="12">
        <f>SUM(E102:E116)</f>
        <v>3000</v>
      </c>
      <c r="J102" s="14"/>
    </row>
    <row r="103" spans="1:10">
      <c r="A103" s="8">
        <v>45944</v>
      </c>
      <c r="B103" s="12">
        <v>908</v>
      </c>
      <c r="C103" s="13" t="s">
        <v>23</v>
      </c>
      <c r="D103" s="12">
        <v>45</v>
      </c>
      <c r="E103" s="12">
        <v>45</v>
      </c>
      <c r="F103" s="12"/>
      <c r="G103" s="12"/>
      <c r="H103" s="12" t="s">
        <v>10</v>
      </c>
      <c r="I103" s="12"/>
      <c r="J103" s="14"/>
    </row>
    <row r="104" spans="1:10">
      <c r="A104" s="8">
        <v>45944</v>
      </c>
      <c r="B104" s="12">
        <v>6639</v>
      </c>
      <c r="C104" s="13" t="s">
        <v>9</v>
      </c>
      <c r="D104" s="12">
        <v>360</v>
      </c>
      <c r="E104" s="12">
        <v>360</v>
      </c>
      <c r="F104" s="12"/>
      <c r="G104" s="12"/>
      <c r="H104" s="12" t="s">
        <v>10</v>
      </c>
      <c r="I104" s="12"/>
      <c r="J104" s="14"/>
    </row>
    <row r="105" spans="1:10">
      <c r="A105" s="8">
        <v>45944</v>
      </c>
      <c r="B105" s="12">
        <v>659</v>
      </c>
      <c r="C105" s="13" t="s">
        <v>21</v>
      </c>
      <c r="D105" s="12">
        <v>228</v>
      </c>
      <c r="E105" s="12">
        <v>228</v>
      </c>
      <c r="F105" s="12"/>
      <c r="G105" s="12"/>
      <c r="H105" s="12" t="s">
        <v>10</v>
      </c>
      <c r="I105" s="12"/>
      <c r="J105" s="14"/>
    </row>
    <row r="106" spans="1:10">
      <c r="A106" s="8">
        <v>45944</v>
      </c>
      <c r="B106" s="12">
        <v>981</v>
      </c>
      <c r="C106" s="13" t="s">
        <v>13</v>
      </c>
      <c r="D106" s="12">
        <v>480</v>
      </c>
      <c r="E106" s="12">
        <v>480</v>
      </c>
      <c r="F106" s="12"/>
      <c r="G106" s="12"/>
      <c r="H106" s="12" t="s">
        <v>10</v>
      </c>
      <c r="I106" s="12"/>
      <c r="J106" s="14"/>
    </row>
    <row r="107" spans="1:10">
      <c r="A107" s="8">
        <v>45944</v>
      </c>
      <c r="B107" s="12">
        <v>627</v>
      </c>
      <c r="C107" s="13" t="s">
        <v>71</v>
      </c>
      <c r="D107" s="12">
        <v>40</v>
      </c>
      <c r="E107" s="12">
        <v>40</v>
      </c>
      <c r="F107" s="12"/>
      <c r="G107" s="12"/>
      <c r="H107" s="12" t="s">
        <v>10</v>
      </c>
      <c r="I107" s="12"/>
      <c r="J107" s="14"/>
    </row>
    <row r="108" spans="1:10">
      <c r="A108" s="8">
        <v>45944</v>
      </c>
      <c r="B108" s="12">
        <v>845</v>
      </c>
      <c r="C108" s="13" t="s">
        <v>24</v>
      </c>
      <c r="D108" s="12">
        <v>42</v>
      </c>
      <c r="E108" s="12">
        <v>42</v>
      </c>
      <c r="F108" s="12"/>
      <c r="G108" s="12"/>
      <c r="H108" s="12" t="s">
        <v>10</v>
      </c>
      <c r="I108" s="12"/>
      <c r="J108" s="14"/>
    </row>
    <row r="109" spans="1:10">
      <c r="A109" s="8">
        <v>45944</v>
      </c>
      <c r="B109" s="12">
        <v>846</v>
      </c>
      <c r="C109" s="13" t="s">
        <v>76</v>
      </c>
      <c r="D109" s="12">
        <v>86</v>
      </c>
      <c r="E109" s="12">
        <v>86</v>
      </c>
      <c r="F109" s="12"/>
      <c r="G109" s="12"/>
      <c r="H109" s="12" t="s">
        <v>10</v>
      </c>
      <c r="I109" s="12"/>
      <c r="J109" s="14"/>
    </row>
    <row r="110" spans="1:10">
      <c r="A110" s="8">
        <v>45944</v>
      </c>
      <c r="B110" s="12">
        <v>625</v>
      </c>
      <c r="C110" s="13" t="s">
        <v>12</v>
      </c>
      <c r="D110" s="12">
        <v>42</v>
      </c>
      <c r="E110" s="12">
        <v>42</v>
      </c>
      <c r="F110" s="12"/>
      <c r="G110" s="12"/>
      <c r="H110" s="12" t="s">
        <v>10</v>
      </c>
      <c r="I110" s="12"/>
      <c r="J110" s="14"/>
    </row>
    <row r="111" spans="1:10">
      <c r="A111" s="8">
        <v>45944</v>
      </c>
      <c r="B111" s="12">
        <v>1845</v>
      </c>
      <c r="C111" s="13" t="s">
        <v>85</v>
      </c>
      <c r="D111" s="12">
        <v>120</v>
      </c>
      <c r="E111" s="12">
        <v>120</v>
      </c>
      <c r="F111" s="12"/>
      <c r="G111" s="12"/>
      <c r="H111" s="12" t="s">
        <v>10</v>
      </c>
      <c r="I111" s="12"/>
      <c r="J111" s="14"/>
    </row>
    <row r="112" spans="1:10">
      <c r="A112" s="8">
        <v>45944</v>
      </c>
      <c r="B112" s="12">
        <v>1625</v>
      </c>
      <c r="C112" s="13" t="s">
        <v>90</v>
      </c>
      <c r="D112" s="12">
        <v>84</v>
      </c>
      <c r="E112" s="12">
        <v>84</v>
      </c>
      <c r="F112" s="12"/>
      <c r="G112" s="12"/>
      <c r="H112" s="12" t="s">
        <v>10</v>
      </c>
      <c r="I112" s="12"/>
      <c r="J112" s="14"/>
    </row>
    <row r="113" spans="1:10">
      <c r="A113" s="8">
        <v>45944</v>
      </c>
      <c r="B113" s="12">
        <v>1653</v>
      </c>
      <c r="C113" s="13" t="s">
        <v>95</v>
      </c>
      <c r="D113" s="12">
        <v>30</v>
      </c>
      <c r="E113" s="12">
        <v>30</v>
      </c>
      <c r="F113" s="12"/>
      <c r="G113" s="12"/>
      <c r="H113" s="12" t="s">
        <v>10</v>
      </c>
      <c r="I113" s="12"/>
      <c r="J113" s="14"/>
    </row>
    <row r="114" spans="1:10">
      <c r="A114" s="8">
        <v>45944</v>
      </c>
      <c r="B114" s="12">
        <v>8839</v>
      </c>
      <c r="C114" s="13" t="s">
        <v>20</v>
      </c>
      <c r="D114" s="12">
        <v>388</v>
      </c>
      <c r="E114" s="12">
        <v>388</v>
      </c>
      <c r="F114" s="12"/>
      <c r="G114" s="12"/>
      <c r="H114" s="12" t="s">
        <v>10</v>
      </c>
      <c r="I114" s="12"/>
      <c r="J114" s="14"/>
    </row>
    <row r="115" spans="1:10">
      <c r="A115" s="8">
        <v>45944</v>
      </c>
      <c r="B115" s="12">
        <v>661</v>
      </c>
      <c r="C115" s="13" t="s">
        <v>30</v>
      </c>
      <c r="D115" s="12">
        <v>256</v>
      </c>
      <c r="E115" s="12">
        <v>256</v>
      </c>
      <c r="F115" s="12"/>
      <c r="G115" s="12"/>
      <c r="H115" s="12" t="s">
        <v>10</v>
      </c>
      <c r="I115" s="12"/>
      <c r="J115" s="14"/>
    </row>
    <row r="116" spans="1:10">
      <c r="A116" s="8">
        <v>45944</v>
      </c>
      <c r="B116" s="12">
        <v>662</v>
      </c>
      <c r="C116" s="13" t="s">
        <v>96</v>
      </c>
      <c r="D116" s="12">
        <v>192</v>
      </c>
      <c r="E116" s="12">
        <v>192</v>
      </c>
      <c r="F116" s="12"/>
      <c r="G116" s="12"/>
      <c r="H116" s="12" t="s">
        <v>10</v>
      </c>
      <c r="I116" s="12"/>
      <c r="J116" s="14"/>
    </row>
    <row r="117" spans="1:10">
      <c r="A117" s="8">
        <v>45945</v>
      </c>
      <c r="B117" s="12">
        <v>909</v>
      </c>
      <c r="C117" s="13" t="s">
        <v>11</v>
      </c>
      <c r="D117" s="12">
        <v>771</v>
      </c>
      <c r="E117" s="12">
        <v>771</v>
      </c>
      <c r="F117" s="12"/>
      <c r="G117" s="12"/>
      <c r="H117" s="12" t="s">
        <v>10</v>
      </c>
      <c r="I117" s="12">
        <f>SUM(E117:E129)</f>
        <v>3612</v>
      </c>
      <c r="J117" s="14"/>
    </row>
    <row r="118" spans="1:10">
      <c r="A118" s="8">
        <v>45945</v>
      </c>
      <c r="B118" s="12">
        <v>6639</v>
      </c>
      <c r="C118" s="13" t="s">
        <v>9</v>
      </c>
      <c r="D118" s="12">
        <v>668</v>
      </c>
      <c r="E118" s="12">
        <v>668</v>
      </c>
      <c r="F118" s="12"/>
      <c r="G118" s="12"/>
      <c r="H118" s="12" t="s">
        <v>10</v>
      </c>
      <c r="I118" s="12"/>
      <c r="J118" s="14"/>
    </row>
    <row r="119" spans="1:10">
      <c r="A119" s="8">
        <v>45945</v>
      </c>
      <c r="B119" s="12">
        <v>909</v>
      </c>
      <c r="C119" s="13" t="s">
        <v>11</v>
      </c>
      <c r="D119" s="12">
        <v>360</v>
      </c>
      <c r="E119" s="12">
        <v>360</v>
      </c>
      <c r="F119" s="12"/>
      <c r="G119" s="12"/>
      <c r="H119" s="12" t="s">
        <v>10</v>
      </c>
      <c r="I119" s="12"/>
      <c r="J119" s="14"/>
    </row>
    <row r="120" spans="1:10">
      <c r="A120" s="8">
        <v>45945</v>
      </c>
      <c r="B120" s="12">
        <v>908</v>
      </c>
      <c r="C120" s="13" t="s">
        <v>23</v>
      </c>
      <c r="D120" s="12">
        <v>339</v>
      </c>
      <c r="E120" s="12">
        <v>339</v>
      </c>
      <c r="F120" s="12"/>
      <c r="G120" s="12"/>
      <c r="H120" s="12" t="s">
        <v>10</v>
      </c>
      <c r="I120" s="12"/>
      <c r="J120" s="14"/>
    </row>
    <row r="121" spans="1:10">
      <c r="A121" s="8">
        <v>45945</v>
      </c>
      <c r="B121" s="12">
        <v>653</v>
      </c>
      <c r="C121" s="13" t="s">
        <v>74</v>
      </c>
      <c r="D121" s="12">
        <v>151</v>
      </c>
      <c r="E121" s="12">
        <v>151</v>
      </c>
      <c r="F121" s="12"/>
      <c r="G121" s="12"/>
      <c r="H121" s="12" t="s">
        <v>10</v>
      </c>
      <c r="I121" s="12"/>
      <c r="J121" s="14"/>
    </row>
    <row r="122" spans="1:10">
      <c r="A122" s="8">
        <v>45945</v>
      </c>
      <c r="B122" s="12">
        <v>625</v>
      </c>
      <c r="C122" s="13" t="s">
        <v>12</v>
      </c>
      <c r="D122" s="12">
        <v>339</v>
      </c>
      <c r="E122" s="12">
        <v>339</v>
      </c>
      <c r="F122" s="12"/>
      <c r="G122" s="12"/>
      <c r="H122" s="12" t="s">
        <v>10</v>
      </c>
      <c r="I122" s="12"/>
      <c r="J122" s="14"/>
    </row>
    <row r="123" spans="1:10">
      <c r="A123" s="8">
        <v>45945</v>
      </c>
      <c r="B123" s="12">
        <v>981</v>
      </c>
      <c r="C123" s="13" t="s">
        <v>13</v>
      </c>
      <c r="D123" s="12">
        <v>385</v>
      </c>
      <c r="E123" s="12">
        <v>385</v>
      </c>
      <c r="F123" s="12"/>
      <c r="G123" s="12"/>
      <c r="H123" s="12" t="s">
        <v>10</v>
      </c>
      <c r="I123" s="12"/>
      <c r="J123" s="14"/>
    </row>
    <row r="124" spans="1:10">
      <c r="A124" s="8">
        <v>45945</v>
      </c>
      <c r="B124" s="12">
        <v>656</v>
      </c>
      <c r="C124" s="13" t="s">
        <v>73</v>
      </c>
      <c r="D124" s="12">
        <v>22</v>
      </c>
      <c r="E124" s="12">
        <v>22</v>
      </c>
      <c r="F124" s="12"/>
      <c r="G124" s="12"/>
      <c r="H124" s="12" t="s">
        <v>10</v>
      </c>
      <c r="I124" s="12"/>
      <c r="J124" s="14"/>
    </row>
    <row r="125" spans="1:10">
      <c r="A125" s="8">
        <v>45945</v>
      </c>
      <c r="B125" s="12">
        <v>632</v>
      </c>
      <c r="C125" s="13" t="s">
        <v>29</v>
      </c>
      <c r="D125" s="12">
        <v>15</v>
      </c>
      <c r="E125" s="12">
        <v>15</v>
      </c>
      <c r="F125" s="12"/>
      <c r="G125" s="12"/>
      <c r="H125" s="12" t="s">
        <v>10</v>
      </c>
      <c r="I125" s="12"/>
      <c r="J125" s="14"/>
    </row>
    <row r="126" spans="1:10">
      <c r="A126" s="8">
        <v>45945</v>
      </c>
      <c r="B126" s="12">
        <v>627</v>
      </c>
      <c r="C126" s="13" t="s">
        <v>71</v>
      </c>
      <c r="D126" s="12">
        <v>8</v>
      </c>
      <c r="E126" s="12">
        <v>8</v>
      </c>
      <c r="F126" s="12"/>
      <c r="G126" s="12"/>
      <c r="H126" s="12" t="s">
        <v>10</v>
      </c>
      <c r="I126" s="12"/>
      <c r="J126" s="14"/>
    </row>
    <row r="127" spans="1:10">
      <c r="A127" s="8">
        <v>45945</v>
      </c>
      <c r="B127" s="12">
        <v>845</v>
      </c>
      <c r="C127" s="13" t="s">
        <v>24</v>
      </c>
      <c r="D127" s="12">
        <v>162</v>
      </c>
      <c r="E127" s="12">
        <v>162</v>
      </c>
      <c r="F127" s="12"/>
      <c r="G127" s="12"/>
      <c r="H127" s="12" t="s">
        <v>10</v>
      </c>
      <c r="I127" s="12"/>
      <c r="J127" s="14"/>
    </row>
    <row r="128" spans="1:10">
      <c r="A128" s="8">
        <v>45945</v>
      </c>
      <c r="B128" s="12">
        <v>846</v>
      </c>
      <c r="C128" s="13" t="s">
        <v>76</v>
      </c>
      <c r="D128" s="12">
        <v>62</v>
      </c>
      <c r="E128" s="12">
        <v>62</v>
      </c>
      <c r="F128" s="12"/>
      <c r="G128" s="12"/>
      <c r="H128" s="12" t="s">
        <v>10</v>
      </c>
      <c r="I128" s="12"/>
      <c r="J128" s="14"/>
    </row>
    <row r="129" spans="1:10">
      <c r="A129" s="8">
        <v>45945</v>
      </c>
      <c r="B129" s="12">
        <v>659</v>
      </c>
      <c r="C129" s="13" t="s">
        <v>21</v>
      </c>
      <c r="D129" s="12">
        <v>330</v>
      </c>
      <c r="E129" s="12">
        <v>330</v>
      </c>
      <c r="F129" s="12"/>
      <c r="G129" s="12"/>
      <c r="H129" s="12" t="s">
        <v>10</v>
      </c>
      <c r="I129" s="12"/>
      <c r="J129" s="14"/>
    </row>
    <row r="130" spans="1:10">
      <c r="A130" s="8">
        <v>45946</v>
      </c>
      <c r="B130" s="12">
        <v>909</v>
      </c>
      <c r="C130" s="13" t="s">
        <v>11</v>
      </c>
      <c r="D130" s="12">
        <v>1232</v>
      </c>
      <c r="E130" s="12">
        <v>1232</v>
      </c>
      <c r="F130" s="12"/>
      <c r="G130" s="12"/>
      <c r="H130" s="12" t="s">
        <v>10</v>
      </c>
      <c r="I130" s="12">
        <f>SUM(E130:E138)</f>
        <v>6163</v>
      </c>
      <c r="J130" s="14"/>
    </row>
    <row r="131" spans="1:10">
      <c r="A131" s="8">
        <v>45946</v>
      </c>
      <c r="B131" s="12">
        <v>909</v>
      </c>
      <c r="C131" s="13" t="s">
        <v>11</v>
      </c>
      <c r="D131" s="12">
        <v>1449</v>
      </c>
      <c r="E131" s="12">
        <v>1449</v>
      </c>
      <c r="F131" s="12"/>
      <c r="G131" s="12"/>
      <c r="H131" s="12" t="s">
        <v>10</v>
      </c>
      <c r="I131" s="12"/>
      <c r="J131" s="14"/>
    </row>
    <row r="132" spans="1:10">
      <c r="A132" s="8">
        <v>45946</v>
      </c>
      <c r="B132" s="12">
        <v>6639</v>
      </c>
      <c r="C132" s="13" t="s">
        <v>9</v>
      </c>
      <c r="D132" s="12">
        <v>728</v>
      </c>
      <c r="E132" s="12">
        <v>728</v>
      </c>
      <c r="F132" s="12"/>
      <c r="G132" s="12"/>
      <c r="H132" s="12" t="s">
        <v>10</v>
      </c>
      <c r="I132" s="12"/>
      <c r="J132" s="14"/>
    </row>
    <row r="133" spans="1:10">
      <c r="A133" s="8">
        <v>45946</v>
      </c>
      <c r="B133" s="12">
        <v>632</v>
      </c>
      <c r="C133" s="13" t="s">
        <v>29</v>
      </c>
      <c r="D133" s="12">
        <v>552</v>
      </c>
      <c r="E133" s="12">
        <v>552</v>
      </c>
      <c r="F133" s="12"/>
      <c r="G133" s="12"/>
      <c r="H133" s="12" t="s">
        <v>10</v>
      </c>
      <c r="I133" s="12"/>
      <c r="J133" s="14"/>
    </row>
    <row r="134" spans="1:10">
      <c r="A134" s="8">
        <v>45946</v>
      </c>
      <c r="B134" s="12">
        <v>908</v>
      </c>
      <c r="C134" s="13" t="s">
        <v>23</v>
      </c>
      <c r="D134" s="12">
        <v>528</v>
      </c>
      <c r="E134" s="12">
        <v>528</v>
      </c>
      <c r="F134" s="12"/>
      <c r="G134" s="12"/>
      <c r="H134" s="12" t="s">
        <v>10</v>
      </c>
      <c r="I134" s="12"/>
      <c r="J134" s="14"/>
    </row>
    <row r="135" spans="1:10">
      <c r="A135" s="8">
        <v>45946</v>
      </c>
      <c r="B135" s="12">
        <v>1632</v>
      </c>
      <c r="C135" s="13" t="s">
        <v>78</v>
      </c>
      <c r="D135" s="12">
        <v>162</v>
      </c>
      <c r="E135" s="12">
        <v>162</v>
      </c>
      <c r="F135" s="12"/>
      <c r="G135" s="12"/>
      <c r="H135" s="12" t="s">
        <v>10</v>
      </c>
      <c r="I135" s="12"/>
      <c r="J135" s="14"/>
    </row>
    <row r="136" spans="1:10">
      <c r="A136" s="8">
        <v>45946</v>
      </c>
      <c r="B136" s="12">
        <v>981</v>
      </c>
      <c r="C136" s="13" t="s">
        <v>13</v>
      </c>
      <c r="D136" s="12">
        <v>720</v>
      </c>
      <c r="E136" s="12">
        <v>720</v>
      </c>
      <c r="F136" s="12"/>
      <c r="G136" s="12"/>
      <c r="H136" s="12" t="s">
        <v>10</v>
      </c>
      <c r="I136" s="12"/>
      <c r="J136" s="14"/>
    </row>
    <row r="137" spans="1:10">
      <c r="A137" s="8">
        <v>45946</v>
      </c>
      <c r="B137" s="12">
        <v>625</v>
      </c>
      <c r="C137" s="13" t="s">
        <v>12</v>
      </c>
      <c r="D137" s="12">
        <v>564</v>
      </c>
      <c r="E137" s="12">
        <v>564</v>
      </c>
      <c r="F137" s="12"/>
      <c r="G137" s="12"/>
      <c r="H137" s="12" t="s">
        <v>10</v>
      </c>
      <c r="I137" s="12"/>
      <c r="J137" s="14"/>
    </row>
    <row r="138" spans="1:10">
      <c r="A138" s="8">
        <v>45946</v>
      </c>
      <c r="B138" s="12">
        <v>845</v>
      </c>
      <c r="C138" s="13" t="s">
        <v>24</v>
      </c>
      <c r="D138" s="12">
        <v>228</v>
      </c>
      <c r="E138" s="12">
        <v>228</v>
      </c>
      <c r="F138" s="12"/>
      <c r="G138" s="12"/>
      <c r="H138" s="12" t="s">
        <v>10</v>
      </c>
      <c r="I138" s="12"/>
      <c r="J138" s="14"/>
    </row>
    <row r="139" spans="1:10">
      <c r="A139" s="8">
        <v>45947</v>
      </c>
      <c r="B139" s="12">
        <v>1816</v>
      </c>
      <c r="C139" s="13" t="s">
        <v>97</v>
      </c>
      <c r="D139" s="12">
        <v>864</v>
      </c>
      <c r="E139" s="12">
        <v>864</v>
      </c>
      <c r="F139" s="12"/>
      <c r="G139" s="12"/>
      <c r="H139" s="12" t="s">
        <v>10</v>
      </c>
      <c r="I139" s="12">
        <f>SUM(E139:E151)</f>
        <v>3933</v>
      </c>
      <c r="J139" s="14"/>
    </row>
    <row r="140" spans="1:10">
      <c r="A140" s="8">
        <v>45947</v>
      </c>
      <c r="B140" s="12">
        <v>908</v>
      </c>
      <c r="C140" s="13" t="s">
        <v>23</v>
      </c>
      <c r="D140" s="12">
        <v>433</v>
      </c>
      <c r="E140" s="12">
        <v>433</v>
      </c>
      <c r="F140" s="12"/>
      <c r="G140" s="12"/>
      <c r="H140" s="12" t="s">
        <v>10</v>
      </c>
      <c r="I140" s="12"/>
      <c r="J140" s="14"/>
    </row>
    <row r="141" spans="1:10">
      <c r="A141" s="8">
        <v>45947</v>
      </c>
      <c r="B141" s="12">
        <v>909</v>
      </c>
      <c r="C141" s="13" t="s">
        <v>11</v>
      </c>
      <c r="D141" s="12">
        <v>30</v>
      </c>
      <c r="E141" s="12">
        <v>30</v>
      </c>
      <c r="F141" s="12"/>
      <c r="G141" s="12"/>
      <c r="H141" s="12" t="s">
        <v>10</v>
      </c>
      <c r="I141" s="12"/>
      <c r="J141" s="14"/>
    </row>
    <row r="142" spans="1:10">
      <c r="A142" s="8">
        <v>45947</v>
      </c>
      <c r="B142" s="12">
        <v>6639</v>
      </c>
      <c r="C142" s="13" t="s">
        <v>9</v>
      </c>
      <c r="D142" s="12">
        <v>504</v>
      </c>
      <c r="E142" s="12">
        <v>504</v>
      </c>
      <c r="F142" s="12"/>
      <c r="G142" s="12"/>
      <c r="H142" s="12" t="s">
        <v>10</v>
      </c>
      <c r="I142" s="12"/>
      <c r="J142" s="14"/>
    </row>
    <row r="143" spans="1:10">
      <c r="A143" s="8">
        <v>45947</v>
      </c>
      <c r="B143" s="12">
        <v>1909</v>
      </c>
      <c r="C143" s="13" t="s">
        <v>83</v>
      </c>
      <c r="D143" s="12">
        <v>396</v>
      </c>
      <c r="E143" s="12">
        <v>396</v>
      </c>
      <c r="F143" s="12"/>
      <c r="G143" s="12"/>
      <c r="H143" s="12" t="s">
        <v>10</v>
      </c>
      <c r="I143" s="12"/>
      <c r="J143" s="14"/>
    </row>
    <row r="144" spans="1:10">
      <c r="A144" s="8">
        <v>45947</v>
      </c>
      <c r="B144" s="12">
        <v>1845</v>
      </c>
      <c r="C144" s="13" t="s">
        <v>85</v>
      </c>
      <c r="D144" s="12">
        <v>87</v>
      </c>
      <c r="E144" s="12">
        <v>87</v>
      </c>
      <c r="F144" s="12"/>
      <c r="G144" s="12"/>
      <c r="H144" s="12" t="s">
        <v>10</v>
      </c>
      <c r="I144" s="12"/>
      <c r="J144" s="14"/>
    </row>
    <row r="145" spans="1:10">
      <c r="A145" s="8">
        <v>45947</v>
      </c>
      <c r="B145" s="12">
        <v>1625</v>
      </c>
      <c r="C145" s="13" t="s">
        <v>90</v>
      </c>
      <c r="D145" s="12">
        <v>84</v>
      </c>
      <c r="E145" s="12">
        <v>84</v>
      </c>
      <c r="F145" s="12"/>
      <c r="G145" s="12"/>
      <c r="H145" s="12" t="s">
        <v>10</v>
      </c>
      <c r="I145" s="12"/>
      <c r="J145" s="14"/>
    </row>
    <row r="146" spans="1:10">
      <c r="A146" s="8">
        <v>45947</v>
      </c>
      <c r="B146" s="12">
        <v>653</v>
      </c>
      <c r="C146" s="13" t="s">
        <v>74</v>
      </c>
      <c r="D146" s="12">
        <v>36</v>
      </c>
      <c r="E146" s="12">
        <v>36</v>
      </c>
      <c r="F146" s="12"/>
      <c r="G146" s="12"/>
      <c r="H146" s="12" t="s">
        <v>10</v>
      </c>
      <c r="I146" s="12"/>
      <c r="J146" s="14"/>
    </row>
    <row r="147" spans="1:10">
      <c r="A147" s="8">
        <v>45947</v>
      </c>
      <c r="B147" s="12">
        <v>981</v>
      </c>
      <c r="C147" s="13" t="s">
        <v>13</v>
      </c>
      <c r="D147" s="12">
        <v>19</v>
      </c>
      <c r="E147" s="12">
        <v>19</v>
      </c>
      <c r="F147" s="12"/>
      <c r="G147" s="12"/>
      <c r="H147" s="12" t="s">
        <v>10</v>
      </c>
      <c r="I147" s="12"/>
      <c r="J147" s="14"/>
    </row>
    <row r="148" spans="1:10">
      <c r="A148" s="8">
        <v>45947</v>
      </c>
      <c r="B148" s="12">
        <v>8839</v>
      </c>
      <c r="C148" s="13" t="s">
        <v>20</v>
      </c>
      <c r="D148" s="12">
        <v>72</v>
      </c>
      <c r="E148" s="12">
        <v>72</v>
      </c>
      <c r="F148" s="12"/>
      <c r="G148" s="12"/>
      <c r="H148" s="12" t="s">
        <v>10</v>
      </c>
      <c r="I148" s="12"/>
      <c r="J148" s="14"/>
    </row>
    <row r="149" spans="1:10">
      <c r="A149" s="8">
        <v>45947</v>
      </c>
      <c r="B149" s="12">
        <v>625</v>
      </c>
      <c r="C149" s="13" t="s">
        <v>12</v>
      </c>
      <c r="D149" s="12">
        <v>706</v>
      </c>
      <c r="E149" s="12">
        <v>706</v>
      </c>
      <c r="F149" s="12"/>
      <c r="G149" s="12"/>
      <c r="H149" s="12" t="s">
        <v>10</v>
      </c>
      <c r="I149" s="12"/>
      <c r="J149" s="14"/>
    </row>
    <row r="150" spans="1:10">
      <c r="A150" s="8">
        <v>45947</v>
      </c>
      <c r="B150" s="12">
        <v>653</v>
      </c>
      <c r="C150" s="13" t="s">
        <v>74</v>
      </c>
      <c r="D150" s="12">
        <v>468</v>
      </c>
      <c r="E150" s="12">
        <v>468</v>
      </c>
      <c r="F150" s="12"/>
      <c r="G150" s="12"/>
      <c r="H150" s="12" t="s">
        <v>10</v>
      </c>
      <c r="I150" s="12"/>
      <c r="J150" s="14"/>
    </row>
    <row r="151" spans="1:10">
      <c r="A151" s="8">
        <v>45947</v>
      </c>
      <c r="B151" s="12">
        <v>656</v>
      </c>
      <c r="C151" s="13" t="s">
        <v>73</v>
      </c>
      <c r="D151" s="12">
        <v>234</v>
      </c>
      <c r="E151" s="12">
        <v>234</v>
      </c>
      <c r="F151" s="12"/>
      <c r="G151" s="12"/>
      <c r="H151" s="12" t="s">
        <v>10</v>
      </c>
      <c r="I151" s="12"/>
      <c r="J151" s="14"/>
    </row>
    <row r="152" spans="1:10">
      <c r="A152" s="8">
        <v>45948</v>
      </c>
      <c r="B152" s="12">
        <v>909</v>
      </c>
      <c r="C152" s="13" t="s">
        <v>11</v>
      </c>
      <c r="D152" s="12">
        <v>736</v>
      </c>
      <c r="E152" s="12">
        <v>736</v>
      </c>
      <c r="F152" s="12"/>
      <c r="G152" s="12"/>
      <c r="H152" s="12" t="s">
        <v>10</v>
      </c>
      <c r="I152" s="12">
        <f>SUM(E152:E164)</f>
        <v>4678</v>
      </c>
      <c r="J152" s="14"/>
    </row>
    <row r="153" spans="1:10">
      <c r="A153" s="8">
        <v>45948</v>
      </c>
      <c r="B153" s="12">
        <v>659</v>
      </c>
      <c r="C153" s="13" t="s">
        <v>21</v>
      </c>
      <c r="D153" s="12">
        <v>72</v>
      </c>
      <c r="E153" s="12">
        <v>72</v>
      </c>
      <c r="F153" s="12"/>
      <c r="G153" s="12"/>
      <c r="H153" s="12" t="s">
        <v>10</v>
      </c>
      <c r="I153" s="12"/>
      <c r="J153" s="14"/>
    </row>
    <row r="154" spans="1:10">
      <c r="A154" s="8">
        <v>45948</v>
      </c>
      <c r="B154" s="12">
        <v>6639</v>
      </c>
      <c r="C154" s="13" t="s">
        <v>9</v>
      </c>
      <c r="D154" s="12">
        <v>26</v>
      </c>
      <c r="E154" s="12">
        <v>26</v>
      </c>
      <c r="F154" s="12"/>
      <c r="G154" s="12"/>
      <c r="H154" s="12" t="s">
        <v>10</v>
      </c>
      <c r="I154" s="12"/>
      <c r="J154" s="14"/>
    </row>
    <row r="155" spans="1:10">
      <c r="A155" s="8">
        <v>45948</v>
      </c>
      <c r="B155" s="12">
        <v>625</v>
      </c>
      <c r="C155" s="13" t="s">
        <v>12</v>
      </c>
      <c r="D155" s="12">
        <v>520</v>
      </c>
      <c r="E155" s="12">
        <v>520</v>
      </c>
      <c r="F155" s="12"/>
      <c r="G155" s="12"/>
      <c r="H155" s="12" t="s">
        <v>10</v>
      </c>
      <c r="I155" s="12"/>
      <c r="J155" s="14"/>
    </row>
    <row r="156" spans="1:10">
      <c r="A156" s="8">
        <v>45948</v>
      </c>
      <c r="B156" s="12">
        <v>627</v>
      </c>
      <c r="C156" s="13" t="s">
        <v>71</v>
      </c>
      <c r="D156" s="12">
        <v>444</v>
      </c>
      <c r="E156" s="12">
        <v>444</v>
      </c>
      <c r="F156" s="12"/>
      <c r="G156" s="12"/>
      <c r="H156" s="12" t="s">
        <v>10</v>
      </c>
      <c r="I156" s="12"/>
      <c r="J156" s="14"/>
    </row>
    <row r="157" spans="1:10">
      <c r="A157" s="8">
        <v>45948</v>
      </c>
      <c r="B157" s="12">
        <v>632</v>
      </c>
      <c r="C157" s="13" t="s">
        <v>29</v>
      </c>
      <c r="D157" s="12">
        <v>594</v>
      </c>
      <c r="E157" s="12">
        <v>594</v>
      </c>
      <c r="F157" s="12"/>
      <c r="G157" s="12"/>
      <c r="H157" s="12" t="s">
        <v>10</v>
      </c>
      <c r="I157" s="12"/>
      <c r="J157" s="14"/>
    </row>
    <row r="158" spans="1:10">
      <c r="A158" s="8">
        <v>45948</v>
      </c>
      <c r="B158" s="12">
        <v>653</v>
      </c>
      <c r="C158" s="13" t="s">
        <v>74</v>
      </c>
      <c r="D158" s="12">
        <v>252</v>
      </c>
      <c r="E158" s="12">
        <v>252</v>
      </c>
      <c r="F158" s="12"/>
      <c r="G158" s="12"/>
      <c r="H158" s="12" t="s">
        <v>10</v>
      </c>
      <c r="I158" s="12"/>
      <c r="J158" s="14"/>
    </row>
    <row r="159" spans="1:10">
      <c r="A159" s="8">
        <v>45948</v>
      </c>
      <c r="B159" s="12">
        <v>656</v>
      </c>
      <c r="C159" s="13" t="s">
        <v>73</v>
      </c>
      <c r="D159" s="12">
        <v>126</v>
      </c>
      <c r="E159" s="12">
        <v>126</v>
      </c>
      <c r="F159" s="12"/>
      <c r="G159" s="12"/>
      <c r="H159" s="12" t="s">
        <v>10</v>
      </c>
      <c r="I159" s="12"/>
      <c r="J159" s="14"/>
    </row>
    <row r="160" spans="1:10">
      <c r="A160" s="8">
        <v>45948</v>
      </c>
      <c r="B160" s="12">
        <v>845</v>
      </c>
      <c r="C160" s="13" t="s">
        <v>24</v>
      </c>
      <c r="D160" s="12">
        <v>682</v>
      </c>
      <c r="E160" s="12">
        <v>682</v>
      </c>
      <c r="F160" s="12"/>
      <c r="G160" s="12"/>
      <c r="H160" s="12" t="s">
        <v>10</v>
      </c>
      <c r="I160" s="12"/>
      <c r="J160" s="14"/>
    </row>
    <row r="161" spans="1:10">
      <c r="A161" s="8">
        <v>45948</v>
      </c>
      <c r="B161" s="12">
        <v>846</v>
      </c>
      <c r="C161" s="13" t="s">
        <v>76</v>
      </c>
      <c r="D161" s="12">
        <v>140</v>
      </c>
      <c r="E161" s="12">
        <v>140</v>
      </c>
      <c r="F161" s="12"/>
      <c r="G161" s="12"/>
      <c r="H161" s="12" t="s">
        <v>10</v>
      </c>
      <c r="I161" s="12"/>
      <c r="J161" s="14"/>
    </row>
    <row r="162" spans="1:10">
      <c r="A162" s="8">
        <v>45948</v>
      </c>
      <c r="B162" s="12">
        <v>661</v>
      </c>
      <c r="C162" s="13" t="s">
        <v>30</v>
      </c>
      <c r="D162" s="12">
        <v>332</v>
      </c>
      <c r="E162" s="12">
        <v>332</v>
      </c>
      <c r="F162" s="12"/>
      <c r="G162" s="12"/>
      <c r="H162" s="12" t="s">
        <v>10</v>
      </c>
      <c r="I162" s="12"/>
      <c r="J162" s="14"/>
    </row>
    <row r="163" spans="1:10">
      <c r="A163" s="8">
        <v>45948</v>
      </c>
      <c r="B163" s="12">
        <v>8839</v>
      </c>
      <c r="C163" s="13" t="s">
        <v>20</v>
      </c>
      <c r="D163" s="12">
        <v>316</v>
      </c>
      <c r="E163" s="12">
        <v>316</v>
      </c>
      <c r="F163" s="12"/>
      <c r="G163" s="12"/>
      <c r="H163" s="12" t="s">
        <v>10</v>
      </c>
      <c r="I163" s="12"/>
      <c r="J163" s="14"/>
    </row>
    <row r="164" spans="1:10">
      <c r="A164" s="8">
        <v>45948</v>
      </c>
      <c r="B164" s="12">
        <v>1861</v>
      </c>
      <c r="C164" s="13" t="s">
        <v>14</v>
      </c>
      <c r="D164" s="12">
        <v>438</v>
      </c>
      <c r="E164" s="12">
        <v>438</v>
      </c>
      <c r="F164" s="12"/>
      <c r="G164" s="12"/>
      <c r="H164" s="12" t="s">
        <v>10</v>
      </c>
      <c r="I164" s="12"/>
      <c r="J164" s="14"/>
    </row>
    <row r="165" spans="1:10">
      <c r="A165" s="8">
        <v>45949</v>
      </c>
      <c r="B165" s="12">
        <v>909</v>
      </c>
      <c r="C165" s="13" t="s">
        <v>11</v>
      </c>
      <c r="D165" s="12">
        <v>423</v>
      </c>
      <c r="E165" s="12">
        <v>423</v>
      </c>
      <c r="F165" s="12"/>
      <c r="G165" s="12"/>
      <c r="H165" s="12" t="s">
        <v>10</v>
      </c>
      <c r="I165" s="12">
        <f>SUM(E165:E171)</f>
        <v>2140</v>
      </c>
      <c r="J165" s="14"/>
    </row>
    <row r="166" spans="1:10">
      <c r="A166" s="8">
        <v>45949</v>
      </c>
      <c r="B166" s="12">
        <v>6639</v>
      </c>
      <c r="C166" s="13" t="s">
        <v>9</v>
      </c>
      <c r="D166" s="12">
        <v>345</v>
      </c>
      <c r="E166" s="12">
        <v>345</v>
      </c>
      <c r="F166" s="12"/>
      <c r="G166" s="12"/>
      <c r="H166" s="12" t="s">
        <v>10</v>
      </c>
      <c r="I166" s="12"/>
      <c r="J166" s="14"/>
    </row>
    <row r="167" spans="1:10">
      <c r="A167" s="8">
        <v>45949</v>
      </c>
      <c r="B167" s="12">
        <v>625</v>
      </c>
      <c r="C167" s="13" t="s">
        <v>12</v>
      </c>
      <c r="D167" s="12">
        <v>678</v>
      </c>
      <c r="E167" s="12">
        <v>678</v>
      </c>
      <c r="F167" s="12"/>
      <c r="G167" s="12"/>
      <c r="H167" s="12" t="s">
        <v>10</v>
      </c>
      <c r="I167" s="12"/>
      <c r="J167" s="14"/>
    </row>
    <row r="168" spans="1:10">
      <c r="A168" s="8">
        <v>45949</v>
      </c>
      <c r="B168" s="12">
        <v>909</v>
      </c>
      <c r="C168" s="13" t="s">
        <v>11</v>
      </c>
      <c r="D168" s="12">
        <v>216</v>
      </c>
      <c r="E168" s="12">
        <v>216</v>
      </c>
      <c r="F168" s="12"/>
      <c r="G168" s="12"/>
      <c r="H168" s="12" t="s">
        <v>10</v>
      </c>
      <c r="I168" s="12"/>
      <c r="J168" s="14"/>
    </row>
    <row r="169" spans="1:10">
      <c r="A169" s="8">
        <v>45949</v>
      </c>
      <c r="B169" s="12">
        <v>632</v>
      </c>
      <c r="C169" s="13" t="s">
        <v>29</v>
      </c>
      <c r="D169" s="12">
        <v>216</v>
      </c>
      <c r="E169" s="12">
        <v>216</v>
      </c>
      <c r="F169" s="12"/>
      <c r="G169" s="12"/>
      <c r="H169" s="12" t="s">
        <v>10</v>
      </c>
      <c r="I169" s="12"/>
      <c r="J169" s="14"/>
    </row>
    <row r="170" spans="1:10">
      <c r="A170" s="8">
        <v>45949</v>
      </c>
      <c r="B170" s="12">
        <v>625</v>
      </c>
      <c r="C170" s="13" t="s">
        <v>12</v>
      </c>
      <c r="D170" s="12">
        <v>216</v>
      </c>
      <c r="E170" s="12">
        <v>216</v>
      </c>
      <c r="F170" s="12"/>
      <c r="G170" s="12"/>
      <c r="H170" s="12" t="s">
        <v>10</v>
      </c>
      <c r="I170" s="12"/>
      <c r="J170" s="14"/>
    </row>
    <row r="171" spans="1:10">
      <c r="A171" s="8">
        <v>45949</v>
      </c>
      <c r="B171" s="12">
        <v>846</v>
      </c>
      <c r="C171" s="13" t="s">
        <v>76</v>
      </c>
      <c r="D171" s="12">
        <v>46</v>
      </c>
      <c r="E171" s="12">
        <v>46</v>
      </c>
      <c r="F171" s="12"/>
      <c r="G171" s="12"/>
      <c r="H171" s="12" t="s">
        <v>10</v>
      </c>
      <c r="I171" s="12"/>
      <c r="J171" s="14"/>
    </row>
    <row r="172" spans="1:10">
      <c r="A172" s="8">
        <v>45950</v>
      </c>
      <c r="B172" s="12">
        <v>6639</v>
      </c>
      <c r="C172" s="13" t="s">
        <v>9</v>
      </c>
      <c r="D172" s="12">
        <v>396</v>
      </c>
      <c r="E172" s="12">
        <v>396</v>
      </c>
      <c r="F172" s="12"/>
      <c r="G172" s="12"/>
      <c r="H172" s="12" t="s">
        <v>10</v>
      </c>
      <c r="I172" s="12">
        <f>SUM(E172:E186)</f>
        <v>4062</v>
      </c>
      <c r="J172" s="14"/>
    </row>
    <row r="173" spans="1:10">
      <c r="A173" s="8">
        <v>45950</v>
      </c>
      <c r="B173" s="12">
        <v>908</v>
      </c>
      <c r="C173" s="13" t="s">
        <v>23</v>
      </c>
      <c r="D173" s="12">
        <v>174</v>
      </c>
      <c r="E173" s="12">
        <v>174</v>
      </c>
      <c r="F173" s="12"/>
      <c r="G173" s="12"/>
      <c r="H173" s="12" t="s">
        <v>10</v>
      </c>
      <c r="I173" s="12"/>
      <c r="J173" s="14"/>
    </row>
    <row r="174" spans="1:10">
      <c r="A174" s="8">
        <v>45950</v>
      </c>
      <c r="B174" s="12">
        <v>909</v>
      </c>
      <c r="C174" s="13" t="s">
        <v>11</v>
      </c>
      <c r="D174" s="12">
        <v>516</v>
      </c>
      <c r="E174" s="12">
        <v>516</v>
      </c>
      <c r="F174" s="12"/>
      <c r="G174" s="12"/>
      <c r="H174" s="12" t="s">
        <v>10</v>
      </c>
      <c r="I174" s="12"/>
      <c r="J174" s="14"/>
    </row>
    <row r="175" spans="1:10">
      <c r="A175" s="8">
        <v>45950</v>
      </c>
      <c r="B175" s="12">
        <v>632</v>
      </c>
      <c r="C175" s="13" t="s">
        <v>29</v>
      </c>
      <c r="D175" s="12">
        <v>600</v>
      </c>
      <c r="E175" s="12">
        <v>600</v>
      </c>
      <c r="F175" s="12"/>
      <c r="G175" s="12"/>
      <c r="H175" s="12" t="s">
        <v>10</v>
      </c>
      <c r="I175" s="12"/>
      <c r="J175" s="14"/>
    </row>
    <row r="176" spans="1:10">
      <c r="A176" s="8">
        <v>45950</v>
      </c>
      <c r="B176" s="12">
        <v>627</v>
      </c>
      <c r="C176" s="13" t="s">
        <v>71</v>
      </c>
      <c r="D176" s="12">
        <v>332</v>
      </c>
      <c r="E176" s="12">
        <v>332</v>
      </c>
      <c r="F176" s="12"/>
      <c r="G176" s="12"/>
      <c r="H176" s="12" t="s">
        <v>10</v>
      </c>
      <c r="I176" s="12"/>
      <c r="J176" s="14"/>
    </row>
    <row r="177" spans="1:10">
      <c r="A177" s="8">
        <v>45950</v>
      </c>
      <c r="B177" s="12">
        <v>661</v>
      </c>
      <c r="C177" s="13" t="s">
        <v>30</v>
      </c>
      <c r="D177" s="12">
        <v>484</v>
      </c>
      <c r="E177" s="12">
        <v>484</v>
      </c>
      <c r="F177" s="12"/>
      <c r="G177" s="12"/>
      <c r="H177" s="12" t="s">
        <v>10</v>
      </c>
      <c r="I177" s="12"/>
      <c r="J177" s="14"/>
    </row>
    <row r="178" spans="1:10">
      <c r="A178" s="8">
        <v>45950</v>
      </c>
      <c r="B178" s="12">
        <v>653</v>
      </c>
      <c r="C178" s="13" t="s">
        <v>74</v>
      </c>
      <c r="D178" s="12">
        <v>272</v>
      </c>
      <c r="E178" s="12">
        <v>272</v>
      </c>
      <c r="F178" s="12"/>
      <c r="G178" s="12"/>
      <c r="H178" s="12" t="s">
        <v>10</v>
      </c>
      <c r="I178" s="12"/>
      <c r="J178" s="14"/>
    </row>
    <row r="179" spans="1:10">
      <c r="A179" s="8">
        <v>45950</v>
      </c>
      <c r="B179" s="12">
        <v>981</v>
      </c>
      <c r="C179" s="13" t="s">
        <v>13</v>
      </c>
      <c r="D179" s="12">
        <v>224</v>
      </c>
      <c r="E179" s="12">
        <v>224</v>
      </c>
      <c r="F179" s="12"/>
      <c r="G179" s="12"/>
      <c r="H179" s="12" t="s">
        <v>10</v>
      </c>
      <c r="I179" s="12"/>
      <c r="J179" s="14"/>
    </row>
    <row r="180" spans="1:10">
      <c r="A180" s="8">
        <v>45950</v>
      </c>
      <c r="B180" s="12">
        <v>8839</v>
      </c>
      <c r="C180" s="13" t="s">
        <v>20</v>
      </c>
      <c r="D180" s="12">
        <v>440</v>
      </c>
      <c r="E180" s="12">
        <v>440</v>
      </c>
      <c r="F180" s="12"/>
      <c r="G180" s="12"/>
      <c r="H180" s="12" t="s">
        <v>10</v>
      </c>
      <c r="I180" s="12"/>
      <c r="J180" s="14"/>
    </row>
    <row r="181" spans="1:10">
      <c r="A181" s="8">
        <v>45950</v>
      </c>
      <c r="B181" s="12">
        <v>962</v>
      </c>
      <c r="C181" s="13" t="s">
        <v>19</v>
      </c>
      <c r="D181" s="12">
        <v>104</v>
      </c>
      <c r="E181" s="12">
        <v>104</v>
      </c>
      <c r="F181" s="12"/>
      <c r="G181" s="12"/>
      <c r="H181" s="12" t="s">
        <v>10</v>
      </c>
      <c r="I181" s="12"/>
      <c r="J181" s="14"/>
    </row>
    <row r="182" spans="1:10">
      <c r="A182" s="8">
        <v>45950</v>
      </c>
      <c r="B182" s="12">
        <v>963</v>
      </c>
      <c r="C182" s="13" t="s">
        <v>18</v>
      </c>
      <c r="D182" s="12">
        <v>104</v>
      </c>
      <c r="E182" s="12">
        <v>104</v>
      </c>
      <c r="F182" s="12"/>
      <c r="G182" s="12"/>
      <c r="H182" s="12" t="s">
        <v>10</v>
      </c>
      <c r="I182" s="12"/>
      <c r="J182" s="14"/>
    </row>
    <row r="183" spans="1:10">
      <c r="A183" s="8">
        <v>45950</v>
      </c>
      <c r="B183" s="12">
        <v>987</v>
      </c>
      <c r="C183" s="13" t="s">
        <v>16</v>
      </c>
      <c r="D183" s="12">
        <v>104</v>
      </c>
      <c r="E183" s="12">
        <v>104</v>
      </c>
      <c r="F183" s="12"/>
      <c r="G183" s="12"/>
      <c r="H183" s="12" t="s">
        <v>10</v>
      </c>
      <c r="I183" s="12"/>
      <c r="J183" s="14"/>
    </row>
    <row r="184" spans="1:10">
      <c r="A184" s="8">
        <v>45950</v>
      </c>
      <c r="B184" s="12">
        <v>978</v>
      </c>
      <c r="C184" s="13" t="s">
        <v>25</v>
      </c>
      <c r="D184" s="12">
        <v>104</v>
      </c>
      <c r="E184" s="12">
        <v>104</v>
      </c>
      <c r="F184" s="12"/>
      <c r="G184" s="12"/>
      <c r="H184" s="12" t="s">
        <v>10</v>
      </c>
      <c r="I184" s="12"/>
      <c r="J184" s="14"/>
    </row>
    <row r="185" spans="1:10">
      <c r="A185" s="8">
        <v>45950</v>
      </c>
      <c r="B185" s="12">
        <v>988</v>
      </c>
      <c r="C185" s="13" t="s">
        <v>17</v>
      </c>
      <c r="D185" s="12">
        <v>104</v>
      </c>
      <c r="E185" s="12">
        <v>104</v>
      </c>
      <c r="F185" s="12"/>
      <c r="G185" s="12"/>
      <c r="H185" s="12" t="s">
        <v>10</v>
      </c>
      <c r="I185" s="12"/>
      <c r="J185" s="14"/>
    </row>
    <row r="186" spans="1:10">
      <c r="A186" s="8">
        <v>45950</v>
      </c>
      <c r="B186" s="12">
        <v>985</v>
      </c>
      <c r="C186" s="13" t="s">
        <v>26</v>
      </c>
      <c r="D186" s="12">
        <v>104</v>
      </c>
      <c r="E186" s="12">
        <v>104</v>
      </c>
      <c r="F186" s="12"/>
      <c r="G186" s="12"/>
      <c r="H186" s="12" t="s">
        <v>10</v>
      </c>
      <c r="I186" s="12"/>
      <c r="J186" s="14"/>
    </row>
    <row r="187" spans="1:10">
      <c r="A187" s="8">
        <v>45951</v>
      </c>
      <c r="B187" s="12">
        <v>909</v>
      </c>
      <c r="C187" s="13" t="s">
        <v>11</v>
      </c>
      <c r="D187" s="12">
        <v>448</v>
      </c>
      <c r="E187" s="12">
        <v>448</v>
      </c>
      <c r="F187" s="12"/>
      <c r="G187" s="12"/>
      <c r="H187" s="12" t="s">
        <v>10</v>
      </c>
      <c r="I187" s="12">
        <f>SUM(E187:E203)</f>
        <v>4334</v>
      </c>
      <c r="J187" s="14"/>
    </row>
    <row r="188" spans="1:10">
      <c r="A188" s="8">
        <v>45951</v>
      </c>
      <c r="B188" s="12">
        <v>6639</v>
      </c>
      <c r="C188" s="13" t="s">
        <v>9</v>
      </c>
      <c r="D188" s="12">
        <v>280</v>
      </c>
      <c r="E188" s="12">
        <v>280</v>
      </c>
      <c r="F188" s="12"/>
      <c r="G188" s="12"/>
      <c r="H188" s="12" t="s">
        <v>10</v>
      </c>
      <c r="I188" s="12"/>
      <c r="J188" s="14"/>
    </row>
    <row r="189" spans="1:10">
      <c r="A189" s="8">
        <v>45951</v>
      </c>
      <c r="B189" s="12">
        <v>908</v>
      </c>
      <c r="C189" s="13" t="s">
        <v>23</v>
      </c>
      <c r="D189" s="12">
        <v>297</v>
      </c>
      <c r="E189" s="12">
        <v>297</v>
      </c>
      <c r="F189" s="12"/>
      <c r="G189" s="12"/>
      <c r="H189" s="12" t="s">
        <v>10</v>
      </c>
      <c r="I189" s="12"/>
      <c r="J189" s="14"/>
    </row>
    <row r="190" spans="1:10">
      <c r="A190" s="8">
        <v>45951</v>
      </c>
      <c r="B190" s="12">
        <v>659</v>
      </c>
      <c r="C190" s="13" t="s">
        <v>21</v>
      </c>
      <c r="D190" s="12">
        <v>167</v>
      </c>
      <c r="E190" s="12">
        <v>167</v>
      </c>
      <c r="F190" s="12"/>
      <c r="G190" s="12"/>
      <c r="H190" s="12" t="s">
        <v>10</v>
      </c>
      <c r="I190" s="12"/>
      <c r="J190" s="14"/>
    </row>
    <row r="191" spans="1:10">
      <c r="A191" s="8">
        <v>45951</v>
      </c>
      <c r="B191" s="12">
        <v>632</v>
      </c>
      <c r="C191" s="13" t="s">
        <v>29</v>
      </c>
      <c r="D191" s="12">
        <v>344</v>
      </c>
      <c r="E191" s="12">
        <v>344</v>
      </c>
      <c r="F191" s="12"/>
      <c r="G191" s="12"/>
      <c r="H191" s="12" t="s">
        <v>10</v>
      </c>
      <c r="I191" s="12"/>
      <c r="J191" s="14"/>
    </row>
    <row r="192" spans="1:10">
      <c r="A192" s="8">
        <v>45951</v>
      </c>
      <c r="B192" s="12">
        <v>625</v>
      </c>
      <c r="C192" s="13" t="s">
        <v>12</v>
      </c>
      <c r="D192" s="12">
        <v>260</v>
      </c>
      <c r="E192" s="12">
        <v>260</v>
      </c>
      <c r="F192" s="12"/>
      <c r="G192" s="12"/>
      <c r="H192" s="12" t="s">
        <v>10</v>
      </c>
      <c r="I192" s="12"/>
      <c r="J192" s="14"/>
    </row>
    <row r="193" spans="1:10">
      <c r="A193" s="8">
        <v>45951</v>
      </c>
      <c r="B193" s="12">
        <v>660</v>
      </c>
      <c r="C193" s="13" t="s">
        <v>94</v>
      </c>
      <c r="D193" s="12">
        <v>120</v>
      </c>
      <c r="E193" s="12">
        <v>120</v>
      </c>
      <c r="F193" s="12"/>
      <c r="G193" s="12"/>
      <c r="H193" s="12" t="s">
        <v>10</v>
      </c>
      <c r="I193" s="12"/>
      <c r="J193" s="14"/>
    </row>
    <row r="194" spans="1:10">
      <c r="A194" s="8">
        <v>45951</v>
      </c>
      <c r="B194" s="12">
        <v>845</v>
      </c>
      <c r="C194" s="13" t="s">
        <v>24</v>
      </c>
      <c r="D194" s="12">
        <v>240</v>
      </c>
      <c r="E194" s="12">
        <v>240</v>
      </c>
      <c r="F194" s="12"/>
      <c r="G194" s="12"/>
      <c r="H194" s="12" t="s">
        <v>10</v>
      </c>
      <c r="I194" s="12"/>
      <c r="J194" s="14"/>
    </row>
    <row r="195" spans="1:10">
      <c r="A195" s="8">
        <v>45951</v>
      </c>
      <c r="B195" s="12">
        <v>8839</v>
      </c>
      <c r="C195" s="13" t="s">
        <v>20</v>
      </c>
      <c r="D195" s="12">
        <v>352</v>
      </c>
      <c r="E195" s="12">
        <v>352</v>
      </c>
      <c r="F195" s="12"/>
      <c r="G195" s="12"/>
      <c r="H195" s="12" t="s">
        <v>10</v>
      </c>
      <c r="I195" s="12"/>
      <c r="J195" s="14"/>
    </row>
    <row r="196" spans="1:10">
      <c r="A196" s="8">
        <v>45951</v>
      </c>
      <c r="B196" s="12">
        <v>987</v>
      </c>
      <c r="C196" s="13" t="s">
        <v>16</v>
      </c>
      <c r="D196" s="12">
        <v>200</v>
      </c>
      <c r="E196" s="12">
        <v>200</v>
      </c>
      <c r="F196" s="12"/>
      <c r="G196" s="12"/>
      <c r="H196" s="12" t="s">
        <v>10</v>
      </c>
      <c r="I196" s="12"/>
      <c r="J196" s="14"/>
    </row>
    <row r="197" spans="1:10">
      <c r="A197" s="8">
        <v>45951</v>
      </c>
      <c r="B197" s="12">
        <v>978</v>
      </c>
      <c r="C197" s="13" t="s">
        <v>25</v>
      </c>
      <c r="D197" s="12">
        <v>200</v>
      </c>
      <c r="E197" s="12">
        <v>200</v>
      </c>
      <c r="F197" s="12"/>
      <c r="G197" s="12"/>
      <c r="H197" s="12" t="s">
        <v>10</v>
      </c>
      <c r="I197" s="12"/>
      <c r="J197" s="14"/>
    </row>
    <row r="198" spans="1:10">
      <c r="A198" s="8">
        <v>45951</v>
      </c>
      <c r="B198" s="12">
        <v>988</v>
      </c>
      <c r="C198" s="13" t="s">
        <v>17</v>
      </c>
      <c r="D198" s="12">
        <v>200</v>
      </c>
      <c r="E198" s="12">
        <v>200</v>
      </c>
      <c r="F198" s="12"/>
      <c r="G198" s="12"/>
      <c r="H198" s="12" t="s">
        <v>10</v>
      </c>
      <c r="I198" s="12"/>
      <c r="J198" s="14"/>
    </row>
    <row r="199" spans="1:10">
      <c r="A199" s="8">
        <v>45951</v>
      </c>
      <c r="B199" s="12">
        <v>962</v>
      </c>
      <c r="C199" s="13" t="s">
        <v>19</v>
      </c>
      <c r="D199" s="12">
        <v>198</v>
      </c>
      <c r="E199" s="12">
        <v>198</v>
      </c>
      <c r="F199" s="12"/>
      <c r="G199" s="12"/>
      <c r="H199" s="12" t="s">
        <v>10</v>
      </c>
      <c r="I199" s="12"/>
      <c r="J199" s="14"/>
    </row>
    <row r="200" spans="1:10">
      <c r="A200" s="8">
        <v>45951</v>
      </c>
      <c r="B200" s="12">
        <v>963</v>
      </c>
      <c r="C200" s="13" t="s">
        <v>18</v>
      </c>
      <c r="D200" s="12">
        <v>198</v>
      </c>
      <c r="E200" s="12">
        <v>198</v>
      </c>
      <c r="F200" s="12"/>
      <c r="G200" s="12"/>
      <c r="H200" s="12" t="s">
        <v>10</v>
      </c>
      <c r="I200" s="12"/>
      <c r="J200" s="14"/>
    </row>
    <row r="201" spans="1:10">
      <c r="A201" s="8">
        <v>45951</v>
      </c>
      <c r="B201" s="12">
        <v>985</v>
      </c>
      <c r="C201" s="13" t="s">
        <v>26</v>
      </c>
      <c r="D201" s="12">
        <v>198</v>
      </c>
      <c r="E201" s="12">
        <v>198</v>
      </c>
      <c r="F201" s="12"/>
      <c r="G201" s="12"/>
      <c r="H201" s="12" t="s">
        <v>10</v>
      </c>
      <c r="I201" s="12"/>
      <c r="J201" s="14"/>
    </row>
    <row r="202" spans="1:10">
      <c r="A202" s="8">
        <v>45951</v>
      </c>
      <c r="B202" s="12">
        <v>965</v>
      </c>
      <c r="C202" s="13" t="s">
        <v>28</v>
      </c>
      <c r="D202" s="12">
        <v>316</v>
      </c>
      <c r="E202" s="12">
        <v>316</v>
      </c>
      <c r="F202" s="12"/>
      <c r="G202" s="12"/>
      <c r="H202" s="12" t="s">
        <v>10</v>
      </c>
      <c r="I202" s="12"/>
      <c r="J202" s="14"/>
    </row>
    <row r="203" spans="1:10">
      <c r="A203" s="8">
        <v>45951</v>
      </c>
      <c r="B203" s="12">
        <v>967</v>
      </c>
      <c r="C203" s="13" t="s">
        <v>72</v>
      </c>
      <c r="D203" s="12">
        <v>316</v>
      </c>
      <c r="E203" s="12">
        <v>316</v>
      </c>
      <c r="F203" s="12"/>
      <c r="G203" s="12"/>
      <c r="H203" s="12" t="s">
        <v>10</v>
      </c>
      <c r="I203" s="12"/>
      <c r="J203" s="14"/>
    </row>
    <row r="204" spans="1:10">
      <c r="A204" s="8">
        <v>45952</v>
      </c>
      <c r="B204" s="12">
        <v>909</v>
      </c>
      <c r="C204" s="13" t="s">
        <v>11</v>
      </c>
      <c r="D204" s="12">
        <v>606</v>
      </c>
      <c r="E204" s="12">
        <v>606</v>
      </c>
      <c r="F204" s="12"/>
      <c r="G204" s="12"/>
      <c r="H204" s="12" t="s">
        <v>10</v>
      </c>
      <c r="I204" s="12">
        <f>SUM(E204:E215)</f>
        <v>4010</v>
      </c>
      <c r="J204" s="14"/>
    </row>
    <row r="205" spans="1:10">
      <c r="A205" s="8">
        <v>45952</v>
      </c>
      <c r="B205" s="12">
        <v>6639</v>
      </c>
      <c r="C205" s="13" t="s">
        <v>9</v>
      </c>
      <c r="D205" s="12">
        <v>528</v>
      </c>
      <c r="E205" s="12">
        <v>528</v>
      </c>
      <c r="F205" s="12"/>
      <c r="G205" s="12"/>
      <c r="H205" s="12" t="s">
        <v>10</v>
      </c>
      <c r="I205" s="12"/>
      <c r="J205" s="14"/>
    </row>
    <row r="206" spans="1:10">
      <c r="A206" s="8">
        <v>45952</v>
      </c>
      <c r="B206" s="12">
        <v>661</v>
      </c>
      <c r="C206" s="13" t="s">
        <v>30</v>
      </c>
      <c r="D206" s="12">
        <v>366</v>
      </c>
      <c r="E206" s="12">
        <v>366</v>
      </c>
      <c r="F206" s="12"/>
      <c r="G206" s="12"/>
      <c r="H206" s="12" t="s">
        <v>10</v>
      </c>
      <c r="I206" s="12"/>
      <c r="J206" s="14"/>
    </row>
    <row r="207" spans="1:10">
      <c r="A207" s="8">
        <v>45952</v>
      </c>
      <c r="B207" s="12">
        <v>1861</v>
      </c>
      <c r="C207" s="13" t="s">
        <v>14</v>
      </c>
      <c r="D207" s="12">
        <v>666</v>
      </c>
      <c r="E207" s="12">
        <v>666</v>
      </c>
      <c r="F207" s="12"/>
      <c r="G207" s="12"/>
      <c r="H207" s="12" t="s">
        <v>10</v>
      </c>
      <c r="I207" s="12"/>
      <c r="J207" s="14"/>
    </row>
    <row r="208" spans="1:10">
      <c r="A208" s="8">
        <v>45952</v>
      </c>
      <c r="B208" s="12">
        <v>845</v>
      </c>
      <c r="C208" s="13" t="s">
        <v>24</v>
      </c>
      <c r="D208" s="12">
        <v>332</v>
      </c>
      <c r="E208" s="12">
        <v>332</v>
      </c>
      <c r="F208" s="12"/>
      <c r="G208" s="12"/>
      <c r="H208" s="12" t="s">
        <v>10</v>
      </c>
      <c r="I208" s="12"/>
      <c r="J208" s="14"/>
    </row>
    <row r="209" spans="1:10">
      <c r="A209" s="8">
        <v>45952</v>
      </c>
      <c r="B209" s="12">
        <v>1845</v>
      </c>
      <c r="C209" s="13" t="s">
        <v>85</v>
      </c>
      <c r="D209" s="12">
        <v>108</v>
      </c>
      <c r="E209" s="12">
        <v>108</v>
      </c>
      <c r="F209" s="12"/>
      <c r="G209" s="12"/>
      <c r="H209" s="12" t="s">
        <v>10</v>
      </c>
      <c r="I209" s="12"/>
      <c r="J209" s="14"/>
    </row>
    <row r="210" spans="1:10">
      <c r="A210" s="8">
        <v>45952</v>
      </c>
      <c r="B210" s="12">
        <v>991</v>
      </c>
      <c r="C210" s="13" t="s">
        <v>27</v>
      </c>
      <c r="D210" s="12">
        <v>252</v>
      </c>
      <c r="E210" s="12">
        <v>252</v>
      </c>
      <c r="F210" s="12"/>
      <c r="G210" s="12"/>
      <c r="H210" s="12" t="s">
        <v>10</v>
      </c>
      <c r="I210" s="12"/>
      <c r="J210" s="14"/>
    </row>
    <row r="211" spans="1:10">
      <c r="A211" s="8">
        <v>45952</v>
      </c>
      <c r="B211" s="12">
        <v>992</v>
      </c>
      <c r="C211" s="13" t="s">
        <v>15</v>
      </c>
      <c r="D211" s="12">
        <v>252</v>
      </c>
      <c r="E211" s="12">
        <v>252</v>
      </c>
      <c r="F211" s="12"/>
      <c r="G211" s="12"/>
      <c r="H211" s="12" t="s">
        <v>10</v>
      </c>
      <c r="I211" s="12"/>
      <c r="J211" s="14"/>
    </row>
    <row r="212" spans="1:10">
      <c r="A212" s="8">
        <v>45952</v>
      </c>
      <c r="B212" s="12">
        <v>978</v>
      </c>
      <c r="C212" s="13" t="s">
        <v>25</v>
      </c>
      <c r="D212" s="12">
        <v>296</v>
      </c>
      <c r="E212" s="12">
        <v>296</v>
      </c>
      <c r="F212" s="12"/>
      <c r="G212" s="12"/>
      <c r="H212" s="12" t="s">
        <v>10</v>
      </c>
      <c r="I212" s="12"/>
      <c r="J212" s="14"/>
    </row>
    <row r="213" spans="1:10">
      <c r="A213" s="8">
        <v>45952</v>
      </c>
      <c r="B213" s="12">
        <v>988</v>
      </c>
      <c r="C213" s="13" t="s">
        <v>17</v>
      </c>
      <c r="D213" s="12">
        <v>296</v>
      </c>
      <c r="E213" s="12">
        <v>296</v>
      </c>
      <c r="F213" s="12"/>
      <c r="G213" s="12"/>
      <c r="H213" s="12" t="s">
        <v>10</v>
      </c>
      <c r="I213" s="12"/>
      <c r="J213" s="14"/>
    </row>
    <row r="214" spans="1:10">
      <c r="A214" s="8">
        <v>45952</v>
      </c>
      <c r="B214" s="12">
        <v>987</v>
      </c>
      <c r="C214" s="13" t="s">
        <v>16</v>
      </c>
      <c r="D214" s="12">
        <v>296</v>
      </c>
      <c r="E214" s="12">
        <v>296</v>
      </c>
      <c r="F214" s="12"/>
      <c r="G214" s="12"/>
      <c r="H214" s="12" t="s">
        <v>10</v>
      </c>
      <c r="I214" s="12"/>
      <c r="J214" s="14"/>
    </row>
    <row r="215" spans="1:10">
      <c r="A215" s="8">
        <v>45952</v>
      </c>
      <c r="B215" s="12">
        <v>659</v>
      </c>
      <c r="C215" s="13" t="s">
        <v>21</v>
      </c>
      <c r="D215" s="12">
        <v>12</v>
      </c>
      <c r="E215" s="12">
        <v>12</v>
      </c>
      <c r="F215" s="12"/>
      <c r="G215" s="12"/>
      <c r="H215" s="12" t="s">
        <v>10</v>
      </c>
      <c r="I215" s="12"/>
      <c r="J215" s="14"/>
    </row>
    <row r="216" spans="1:10">
      <c r="A216" s="8">
        <v>45953</v>
      </c>
      <c r="B216" s="12">
        <v>993</v>
      </c>
      <c r="C216" s="13" t="s">
        <v>98</v>
      </c>
      <c r="D216" s="12">
        <v>11</v>
      </c>
      <c r="E216" s="12">
        <v>11</v>
      </c>
      <c r="F216" s="12"/>
      <c r="G216" s="12"/>
      <c r="H216" s="12" t="s">
        <v>10</v>
      </c>
      <c r="I216" s="12">
        <f>SUM(E216:E232)</f>
        <v>5600</v>
      </c>
      <c r="J216" s="14"/>
    </row>
    <row r="217" spans="1:10">
      <c r="A217" s="8">
        <v>45953</v>
      </c>
      <c r="B217" s="12">
        <v>995</v>
      </c>
      <c r="C217" s="13" t="s">
        <v>99</v>
      </c>
      <c r="D217" s="12">
        <v>11</v>
      </c>
      <c r="E217" s="12">
        <v>11</v>
      </c>
      <c r="F217" s="12"/>
      <c r="G217" s="12"/>
      <c r="H217" s="12" t="s">
        <v>10</v>
      </c>
      <c r="I217" s="12"/>
      <c r="J217" s="14"/>
    </row>
    <row r="218" spans="1:10">
      <c r="A218" s="8">
        <v>45953</v>
      </c>
      <c r="B218" s="12">
        <v>996</v>
      </c>
      <c r="C218" s="13" t="s">
        <v>100</v>
      </c>
      <c r="D218" s="12">
        <v>11</v>
      </c>
      <c r="E218" s="12">
        <v>11</v>
      </c>
      <c r="F218" s="12"/>
      <c r="G218" s="12"/>
      <c r="H218" s="12" t="s">
        <v>10</v>
      </c>
      <c r="I218" s="12"/>
      <c r="J218" s="14"/>
    </row>
    <row r="219" spans="1:10">
      <c r="A219" s="8">
        <v>45953</v>
      </c>
      <c r="B219" s="12">
        <v>908</v>
      </c>
      <c r="C219" s="13" t="s">
        <v>23</v>
      </c>
      <c r="D219" s="12">
        <v>726</v>
      </c>
      <c r="E219" s="12">
        <v>726</v>
      </c>
      <c r="F219" s="12"/>
      <c r="G219" s="12"/>
      <c r="H219" s="12" t="s">
        <v>10</v>
      </c>
      <c r="I219" s="12"/>
      <c r="J219" s="14"/>
    </row>
    <row r="220" spans="1:10">
      <c r="A220" s="8">
        <v>45953</v>
      </c>
      <c r="B220" s="12">
        <v>909</v>
      </c>
      <c r="C220" s="13" t="s">
        <v>11</v>
      </c>
      <c r="D220" s="12">
        <v>648</v>
      </c>
      <c r="E220" s="12">
        <v>648</v>
      </c>
      <c r="F220" s="12"/>
      <c r="G220" s="12"/>
      <c r="H220" s="12" t="s">
        <v>10</v>
      </c>
      <c r="I220" s="12"/>
      <c r="J220" s="14"/>
    </row>
    <row r="221" spans="1:10">
      <c r="A221" s="8">
        <v>45953</v>
      </c>
      <c r="B221" s="12">
        <v>6639</v>
      </c>
      <c r="C221" s="13" t="s">
        <v>9</v>
      </c>
      <c r="D221" s="12">
        <v>1022</v>
      </c>
      <c r="E221" s="12">
        <v>1022</v>
      </c>
      <c r="F221" s="12"/>
      <c r="G221" s="12"/>
      <c r="H221" s="12" t="s">
        <v>10</v>
      </c>
      <c r="I221" s="12"/>
      <c r="J221" s="14"/>
    </row>
    <row r="222" spans="1:10">
      <c r="A222" s="8">
        <v>45953</v>
      </c>
      <c r="B222" s="12">
        <v>627</v>
      </c>
      <c r="C222" s="13" t="s">
        <v>71</v>
      </c>
      <c r="D222" s="12">
        <v>472</v>
      </c>
      <c r="E222" s="12">
        <v>472</v>
      </c>
      <c r="F222" s="12"/>
      <c r="G222" s="12"/>
      <c r="H222" s="12" t="s">
        <v>10</v>
      </c>
      <c r="I222" s="12"/>
      <c r="J222" s="14"/>
    </row>
    <row r="223" spans="1:10">
      <c r="A223" s="8">
        <v>45953</v>
      </c>
      <c r="B223" s="12">
        <v>909</v>
      </c>
      <c r="C223" s="13" t="s">
        <v>11</v>
      </c>
      <c r="D223" s="12">
        <v>21</v>
      </c>
      <c r="E223" s="12">
        <v>21</v>
      </c>
      <c r="F223" s="12"/>
      <c r="G223" s="12"/>
      <c r="H223" s="12" t="s">
        <v>10</v>
      </c>
      <c r="I223" s="12"/>
      <c r="J223" s="14"/>
    </row>
    <row r="224" spans="1:10">
      <c r="A224" s="8">
        <v>45953</v>
      </c>
      <c r="B224" s="12">
        <v>908</v>
      </c>
      <c r="C224" s="13" t="s">
        <v>23</v>
      </c>
      <c r="D224" s="12">
        <v>21</v>
      </c>
      <c r="E224" s="12">
        <v>21</v>
      </c>
      <c r="F224" s="12"/>
      <c r="G224" s="12"/>
      <c r="H224" s="12" t="s">
        <v>10</v>
      </c>
      <c r="I224" s="12"/>
      <c r="J224" s="14"/>
    </row>
    <row r="225" spans="1:10">
      <c r="A225" s="8">
        <v>45953</v>
      </c>
      <c r="B225" s="12">
        <v>625</v>
      </c>
      <c r="C225" s="13" t="s">
        <v>12</v>
      </c>
      <c r="D225" s="12">
        <v>714</v>
      </c>
      <c r="E225" s="12">
        <v>714</v>
      </c>
      <c r="F225" s="12"/>
      <c r="G225" s="12"/>
      <c r="H225" s="12" t="s">
        <v>10</v>
      </c>
      <c r="I225" s="12"/>
      <c r="J225" s="14"/>
    </row>
    <row r="226" spans="1:10">
      <c r="A226" s="8">
        <v>45953</v>
      </c>
      <c r="B226" s="12">
        <v>661</v>
      </c>
      <c r="C226" s="13" t="s">
        <v>30</v>
      </c>
      <c r="D226" s="12">
        <v>558</v>
      </c>
      <c r="E226" s="12">
        <v>558</v>
      </c>
      <c r="F226" s="12"/>
      <c r="G226" s="12"/>
      <c r="H226" s="12" t="s">
        <v>10</v>
      </c>
      <c r="I226" s="12"/>
      <c r="J226" s="14"/>
    </row>
    <row r="227" spans="1:10">
      <c r="A227" s="8">
        <v>45953</v>
      </c>
      <c r="B227" s="12">
        <v>632</v>
      </c>
      <c r="C227" s="13" t="s">
        <v>29</v>
      </c>
      <c r="D227" s="12">
        <v>440</v>
      </c>
      <c r="E227" s="12">
        <v>440</v>
      </c>
      <c r="F227" s="12"/>
      <c r="G227" s="12"/>
      <c r="H227" s="12" t="s">
        <v>10</v>
      </c>
      <c r="I227" s="12"/>
      <c r="J227" s="14"/>
    </row>
    <row r="228" spans="1:10">
      <c r="A228" s="8">
        <v>45953</v>
      </c>
      <c r="B228" s="12">
        <v>656</v>
      </c>
      <c r="C228" s="13" t="s">
        <v>73</v>
      </c>
      <c r="D228" s="12">
        <v>216</v>
      </c>
      <c r="E228" s="12">
        <v>216</v>
      </c>
      <c r="F228" s="12"/>
      <c r="G228" s="12"/>
      <c r="H228" s="12" t="s">
        <v>10</v>
      </c>
      <c r="I228" s="12"/>
      <c r="J228" s="14"/>
    </row>
    <row r="229" spans="1:10">
      <c r="A229" s="8">
        <v>45953</v>
      </c>
      <c r="B229" s="12">
        <v>845</v>
      </c>
      <c r="C229" s="13" t="s">
        <v>24</v>
      </c>
      <c r="D229" s="12">
        <v>180</v>
      </c>
      <c r="E229" s="12">
        <v>180</v>
      </c>
      <c r="F229" s="12"/>
      <c r="G229" s="12"/>
      <c r="H229" s="12" t="s">
        <v>10</v>
      </c>
      <c r="I229" s="12"/>
      <c r="J229" s="14"/>
    </row>
    <row r="230" spans="1:10">
      <c r="A230" s="8">
        <v>45953</v>
      </c>
      <c r="B230" s="12">
        <v>985</v>
      </c>
      <c r="C230" s="13" t="s">
        <v>26</v>
      </c>
      <c r="D230" s="12">
        <v>183</v>
      </c>
      <c r="E230" s="12">
        <v>183</v>
      </c>
      <c r="F230" s="12"/>
      <c r="G230" s="12"/>
      <c r="H230" s="12" t="s">
        <v>10</v>
      </c>
      <c r="I230" s="12"/>
      <c r="J230" s="14"/>
    </row>
    <row r="231" spans="1:10">
      <c r="A231" s="8">
        <v>45953</v>
      </c>
      <c r="B231" s="12">
        <v>963</v>
      </c>
      <c r="C231" s="13" t="s">
        <v>18</v>
      </c>
      <c r="D231" s="12">
        <v>183</v>
      </c>
      <c r="E231" s="12">
        <v>183</v>
      </c>
      <c r="F231" s="12"/>
      <c r="G231" s="12"/>
      <c r="H231" s="12" t="s">
        <v>10</v>
      </c>
      <c r="I231" s="12"/>
      <c r="J231" s="14"/>
    </row>
    <row r="232" spans="1:10">
      <c r="A232" s="8">
        <v>45953</v>
      </c>
      <c r="B232" s="12">
        <v>962</v>
      </c>
      <c r="C232" s="13" t="s">
        <v>19</v>
      </c>
      <c r="D232" s="12">
        <v>183</v>
      </c>
      <c r="E232" s="12">
        <v>183</v>
      </c>
      <c r="F232" s="12"/>
      <c r="G232" s="12"/>
      <c r="H232" s="12" t="s">
        <v>10</v>
      </c>
      <c r="I232" s="12"/>
      <c r="J232" s="14"/>
    </row>
    <row r="233" spans="1:10">
      <c r="A233" s="8">
        <v>45954</v>
      </c>
      <c r="B233" s="12">
        <v>1861</v>
      </c>
      <c r="C233" s="13" t="s">
        <v>14</v>
      </c>
      <c r="D233" s="12">
        <v>936</v>
      </c>
      <c r="E233" s="12">
        <v>936</v>
      </c>
      <c r="F233" s="12"/>
      <c r="G233" s="12"/>
      <c r="H233" s="12" t="s">
        <v>10</v>
      </c>
      <c r="I233" s="12">
        <f>SUM(E233:E244)</f>
        <v>5868</v>
      </c>
      <c r="J233" s="14"/>
    </row>
    <row r="234" spans="1:10">
      <c r="A234" s="8">
        <v>45954</v>
      </c>
      <c r="B234" s="12">
        <v>625</v>
      </c>
      <c r="C234" s="13" t="s">
        <v>12</v>
      </c>
      <c r="D234" s="12">
        <v>832</v>
      </c>
      <c r="E234" s="12">
        <v>832</v>
      </c>
      <c r="F234" s="12"/>
      <c r="G234" s="12"/>
      <c r="H234" s="12" t="s">
        <v>10</v>
      </c>
      <c r="I234" s="12"/>
      <c r="J234" s="14"/>
    </row>
    <row r="235" spans="1:10">
      <c r="A235" s="8">
        <v>45954</v>
      </c>
      <c r="B235" s="12">
        <v>6639</v>
      </c>
      <c r="C235" s="13" t="s">
        <v>9</v>
      </c>
      <c r="D235" s="12">
        <v>894</v>
      </c>
      <c r="E235" s="12">
        <v>894</v>
      </c>
      <c r="F235" s="12"/>
      <c r="G235" s="12"/>
      <c r="H235" s="12" t="s">
        <v>10</v>
      </c>
      <c r="I235" s="12"/>
      <c r="J235" s="14"/>
    </row>
    <row r="236" spans="1:10">
      <c r="A236" s="8">
        <v>45954</v>
      </c>
      <c r="B236" s="12">
        <v>909</v>
      </c>
      <c r="C236" s="13" t="s">
        <v>11</v>
      </c>
      <c r="D236" s="12">
        <v>690</v>
      </c>
      <c r="E236" s="12">
        <v>690</v>
      </c>
      <c r="F236" s="12"/>
      <c r="G236" s="12"/>
      <c r="H236" s="12" t="s">
        <v>10</v>
      </c>
      <c r="I236" s="12"/>
      <c r="J236" s="14"/>
    </row>
    <row r="237" spans="1:10">
      <c r="A237" s="8">
        <v>45954</v>
      </c>
      <c r="B237" s="12">
        <v>632</v>
      </c>
      <c r="C237" s="13" t="s">
        <v>29</v>
      </c>
      <c r="D237" s="12">
        <v>750</v>
      </c>
      <c r="E237" s="12">
        <v>750</v>
      </c>
      <c r="F237" s="12"/>
      <c r="G237" s="12"/>
      <c r="H237" s="12" t="s">
        <v>10</v>
      </c>
      <c r="I237" s="12"/>
      <c r="J237" s="14"/>
    </row>
    <row r="238" spans="1:10">
      <c r="A238" s="8">
        <v>45954</v>
      </c>
      <c r="B238" s="12">
        <v>659</v>
      </c>
      <c r="C238" s="13" t="s">
        <v>21</v>
      </c>
      <c r="D238" s="12">
        <v>192</v>
      </c>
      <c r="E238" s="12">
        <v>192</v>
      </c>
      <c r="F238" s="12"/>
      <c r="G238" s="12"/>
      <c r="H238" s="12" t="s">
        <v>10</v>
      </c>
      <c r="I238" s="12"/>
      <c r="J238" s="14"/>
    </row>
    <row r="239" spans="1:10">
      <c r="A239" s="8">
        <v>45954</v>
      </c>
      <c r="B239" s="12">
        <v>845</v>
      </c>
      <c r="C239" s="13" t="s">
        <v>24</v>
      </c>
      <c r="D239" s="12">
        <v>369</v>
      </c>
      <c r="E239" s="12">
        <v>369</v>
      </c>
      <c r="F239" s="12"/>
      <c r="G239" s="12"/>
      <c r="H239" s="12" t="s">
        <v>10</v>
      </c>
      <c r="I239" s="12"/>
      <c r="J239" s="14"/>
    </row>
    <row r="240" spans="1:10">
      <c r="A240" s="8">
        <v>45954</v>
      </c>
      <c r="B240" s="12">
        <v>846</v>
      </c>
      <c r="C240" s="13" t="s">
        <v>76</v>
      </c>
      <c r="D240" s="12">
        <v>71</v>
      </c>
      <c r="E240" s="12">
        <v>71</v>
      </c>
      <c r="F240" s="12"/>
      <c r="G240" s="12"/>
      <c r="H240" s="12" t="s">
        <v>10</v>
      </c>
      <c r="I240" s="12"/>
      <c r="J240" s="14"/>
    </row>
    <row r="241" spans="1:10">
      <c r="A241" s="8">
        <v>45954</v>
      </c>
      <c r="B241" s="12">
        <v>985</v>
      </c>
      <c r="C241" s="13" t="s">
        <v>26</v>
      </c>
      <c r="D241" s="12">
        <v>285</v>
      </c>
      <c r="E241" s="12">
        <v>285</v>
      </c>
      <c r="F241" s="12"/>
      <c r="G241" s="12"/>
      <c r="H241" s="12" t="s">
        <v>10</v>
      </c>
      <c r="I241" s="12"/>
      <c r="J241" s="14"/>
    </row>
    <row r="242" spans="1:10">
      <c r="A242" s="8">
        <v>45954</v>
      </c>
      <c r="B242" s="12">
        <v>988</v>
      </c>
      <c r="C242" s="13" t="s">
        <v>17</v>
      </c>
      <c r="D242" s="12">
        <v>282</v>
      </c>
      <c r="E242" s="12">
        <v>282</v>
      </c>
      <c r="F242" s="12"/>
      <c r="G242" s="12"/>
      <c r="H242" s="12" t="s">
        <v>10</v>
      </c>
      <c r="I242" s="12"/>
      <c r="J242" s="14"/>
    </row>
    <row r="243" spans="1:10">
      <c r="A243" s="8">
        <v>45954</v>
      </c>
      <c r="B243" s="12">
        <v>978</v>
      </c>
      <c r="C243" s="13" t="s">
        <v>25</v>
      </c>
      <c r="D243" s="12">
        <v>282</v>
      </c>
      <c r="E243" s="12">
        <v>282</v>
      </c>
      <c r="F243" s="12"/>
      <c r="G243" s="12"/>
      <c r="H243" s="12" t="s">
        <v>10</v>
      </c>
      <c r="I243" s="12"/>
      <c r="J243" s="14"/>
    </row>
    <row r="244" spans="1:10">
      <c r="A244" s="8">
        <v>45954</v>
      </c>
      <c r="B244" s="12">
        <v>987</v>
      </c>
      <c r="C244" s="13" t="s">
        <v>16</v>
      </c>
      <c r="D244" s="12">
        <v>285</v>
      </c>
      <c r="E244" s="12">
        <v>285</v>
      </c>
      <c r="F244" s="12"/>
      <c r="G244" s="12"/>
      <c r="H244" s="12" t="s">
        <v>10</v>
      </c>
      <c r="I244" s="12"/>
      <c r="J244" s="14"/>
    </row>
    <row r="245" spans="1:10">
      <c r="A245" s="8">
        <v>45955</v>
      </c>
      <c r="B245" s="12">
        <v>962</v>
      </c>
      <c r="C245" s="13" t="s">
        <v>19</v>
      </c>
      <c r="D245" s="12">
        <v>338</v>
      </c>
      <c r="E245" s="12">
        <v>338</v>
      </c>
      <c r="F245" s="12"/>
      <c r="G245" s="12"/>
      <c r="H245" s="12" t="s">
        <v>10</v>
      </c>
      <c r="I245" s="12">
        <f>SUM(E245:E255)</f>
        <v>5547</v>
      </c>
      <c r="J245" s="14"/>
    </row>
    <row r="246" spans="1:10">
      <c r="A246" s="8">
        <v>45955</v>
      </c>
      <c r="B246" s="12">
        <v>963</v>
      </c>
      <c r="C246" s="13" t="s">
        <v>18</v>
      </c>
      <c r="D246" s="12">
        <v>338</v>
      </c>
      <c r="E246" s="12">
        <v>338</v>
      </c>
      <c r="F246" s="12"/>
      <c r="G246" s="12"/>
      <c r="H246" s="12" t="s">
        <v>10</v>
      </c>
      <c r="I246" s="12"/>
      <c r="J246" s="14"/>
    </row>
    <row r="247" spans="1:10">
      <c r="A247" s="8">
        <v>45955</v>
      </c>
      <c r="B247" s="12">
        <v>965</v>
      </c>
      <c r="C247" s="13" t="s">
        <v>28</v>
      </c>
      <c r="D247" s="12">
        <v>338</v>
      </c>
      <c r="E247" s="12">
        <v>338</v>
      </c>
      <c r="F247" s="12"/>
      <c r="G247" s="12"/>
      <c r="H247" s="12" t="s">
        <v>10</v>
      </c>
      <c r="I247" s="12"/>
      <c r="J247" s="14"/>
    </row>
    <row r="248" spans="1:10">
      <c r="A248" s="8">
        <v>45955</v>
      </c>
      <c r="B248" s="12">
        <v>625</v>
      </c>
      <c r="C248" s="13" t="s">
        <v>12</v>
      </c>
      <c r="D248" s="12">
        <v>924</v>
      </c>
      <c r="E248" s="12">
        <v>924</v>
      </c>
      <c r="F248" s="12"/>
      <c r="G248" s="12"/>
      <c r="H248" s="12" t="s">
        <v>10</v>
      </c>
      <c r="I248" s="12"/>
      <c r="J248" s="14"/>
    </row>
    <row r="249" spans="1:10">
      <c r="A249" s="8">
        <v>45955</v>
      </c>
      <c r="B249" s="12">
        <v>6639</v>
      </c>
      <c r="C249" s="13" t="s">
        <v>9</v>
      </c>
      <c r="D249" s="12">
        <v>852</v>
      </c>
      <c r="E249" s="12">
        <v>852</v>
      </c>
      <c r="F249" s="12"/>
      <c r="G249" s="12"/>
      <c r="H249" s="12" t="s">
        <v>10</v>
      </c>
      <c r="I249" s="12"/>
      <c r="J249" s="14"/>
    </row>
    <row r="250" spans="1:10">
      <c r="A250" s="8">
        <v>45955</v>
      </c>
      <c r="B250" s="12">
        <v>909</v>
      </c>
      <c r="C250" s="13" t="s">
        <v>11</v>
      </c>
      <c r="D250" s="12">
        <v>804</v>
      </c>
      <c r="E250" s="12">
        <v>804</v>
      </c>
      <c r="F250" s="12"/>
      <c r="G250" s="12"/>
      <c r="H250" s="12" t="s">
        <v>10</v>
      </c>
      <c r="I250" s="12"/>
      <c r="J250" s="14"/>
    </row>
    <row r="251" spans="1:10">
      <c r="A251" s="8">
        <v>45955</v>
      </c>
      <c r="B251" s="12">
        <v>653</v>
      </c>
      <c r="C251" s="13" t="s">
        <v>74</v>
      </c>
      <c r="D251" s="12">
        <v>159</v>
      </c>
      <c r="E251" s="12">
        <v>159</v>
      </c>
      <c r="F251" s="12"/>
      <c r="G251" s="12"/>
      <c r="H251" s="12" t="s">
        <v>10</v>
      </c>
      <c r="I251" s="12"/>
      <c r="J251" s="14"/>
    </row>
    <row r="252" spans="1:10">
      <c r="A252" s="8">
        <v>45955</v>
      </c>
      <c r="B252" s="12">
        <v>8839</v>
      </c>
      <c r="C252" s="13" t="s">
        <v>20</v>
      </c>
      <c r="D252" s="12">
        <v>520</v>
      </c>
      <c r="E252" s="12">
        <v>520</v>
      </c>
      <c r="F252" s="12"/>
      <c r="G252" s="12"/>
      <c r="H252" s="12" t="s">
        <v>10</v>
      </c>
      <c r="I252" s="12"/>
      <c r="J252" s="14"/>
    </row>
    <row r="253" spans="1:10">
      <c r="A253" s="8">
        <v>45955</v>
      </c>
      <c r="B253" s="12">
        <v>992</v>
      </c>
      <c r="C253" s="13" t="s">
        <v>15</v>
      </c>
      <c r="D253" s="12">
        <v>666</v>
      </c>
      <c r="E253" s="12">
        <v>666</v>
      </c>
      <c r="F253" s="12"/>
      <c r="G253" s="12"/>
      <c r="H253" s="12" t="s">
        <v>10</v>
      </c>
      <c r="I253" s="12"/>
      <c r="J253" s="14"/>
    </row>
    <row r="254" spans="1:10">
      <c r="A254" s="8">
        <v>45955</v>
      </c>
      <c r="B254" s="12">
        <v>991</v>
      </c>
      <c r="C254" s="13" t="s">
        <v>27</v>
      </c>
      <c r="D254" s="12">
        <v>456</v>
      </c>
      <c r="E254" s="12">
        <v>456</v>
      </c>
      <c r="F254" s="12"/>
      <c r="G254" s="12"/>
      <c r="H254" s="12" t="s">
        <v>10</v>
      </c>
      <c r="I254" s="12"/>
      <c r="J254" s="14"/>
    </row>
    <row r="255" spans="1:10">
      <c r="A255" s="8">
        <v>45955</v>
      </c>
      <c r="B255" s="12">
        <v>967</v>
      </c>
      <c r="C255" s="13" t="s">
        <v>72</v>
      </c>
      <c r="D255" s="12">
        <v>152</v>
      </c>
      <c r="E255" s="12">
        <v>152</v>
      </c>
      <c r="F255" s="12"/>
      <c r="G255" s="12"/>
      <c r="H255" s="12" t="s">
        <v>10</v>
      </c>
      <c r="I255" s="12"/>
      <c r="J255" s="14"/>
    </row>
    <row r="256" spans="1:10">
      <c r="A256" s="8">
        <v>45956</v>
      </c>
      <c r="B256" s="12">
        <v>6639</v>
      </c>
      <c r="C256" s="13" t="s">
        <v>9</v>
      </c>
      <c r="D256" s="12">
        <v>990</v>
      </c>
      <c r="E256" s="12">
        <v>990</v>
      </c>
      <c r="F256" s="12"/>
      <c r="G256" s="12"/>
      <c r="H256" s="12" t="s">
        <v>10</v>
      </c>
      <c r="I256" s="12">
        <f>SUM(,E256:E266)</f>
        <v>5062</v>
      </c>
      <c r="J256" s="14"/>
    </row>
    <row r="257" spans="1:10">
      <c r="A257" s="8">
        <v>45956</v>
      </c>
      <c r="B257" s="12">
        <v>625</v>
      </c>
      <c r="C257" s="13" t="s">
        <v>12</v>
      </c>
      <c r="D257" s="12">
        <v>505</v>
      </c>
      <c r="E257" s="12">
        <v>505</v>
      </c>
      <c r="F257" s="12"/>
      <c r="G257" s="12"/>
      <c r="H257" s="12" t="s">
        <v>10</v>
      </c>
      <c r="I257" s="12"/>
      <c r="J257" s="14"/>
    </row>
    <row r="258" spans="1:10">
      <c r="A258" s="8">
        <v>45956</v>
      </c>
      <c r="B258" s="12">
        <v>908</v>
      </c>
      <c r="C258" s="13" t="s">
        <v>23</v>
      </c>
      <c r="D258" s="12">
        <v>446</v>
      </c>
      <c r="E258" s="12">
        <v>446</v>
      </c>
      <c r="F258" s="12"/>
      <c r="G258" s="12"/>
      <c r="H258" s="12" t="s">
        <v>10</v>
      </c>
      <c r="I258" s="12"/>
      <c r="J258" s="14"/>
    </row>
    <row r="259" spans="1:10">
      <c r="A259" s="8">
        <v>45956</v>
      </c>
      <c r="B259" s="12">
        <v>632</v>
      </c>
      <c r="C259" s="13" t="s">
        <v>29</v>
      </c>
      <c r="D259" s="12">
        <v>87</v>
      </c>
      <c r="E259" s="12">
        <v>87</v>
      </c>
      <c r="F259" s="12"/>
      <c r="G259" s="12"/>
      <c r="H259" s="12" t="s">
        <v>10</v>
      </c>
      <c r="I259" s="12"/>
      <c r="J259" s="14"/>
    </row>
    <row r="260" spans="1:10">
      <c r="A260" s="8">
        <v>45956</v>
      </c>
      <c r="B260" s="12">
        <v>909</v>
      </c>
      <c r="C260" s="13" t="s">
        <v>11</v>
      </c>
      <c r="D260" s="12">
        <v>95</v>
      </c>
      <c r="E260" s="12">
        <v>95</v>
      </c>
      <c r="F260" s="12"/>
      <c r="G260" s="12"/>
      <c r="H260" s="12" t="s">
        <v>10</v>
      </c>
      <c r="I260" s="12"/>
      <c r="J260" s="14"/>
    </row>
    <row r="261" spans="1:10">
      <c r="A261" s="8">
        <v>45956</v>
      </c>
      <c r="B261" s="12">
        <v>981</v>
      </c>
      <c r="C261" s="13" t="s">
        <v>13</v>
      </c>
      <c r="D261" s="12">
        <v>370</v>
      </c>
      <c r="E261" s="12">
        <v>370</v>
      </c>
      <c r="F261" s="12"/>
      <c r="G261" s="12"/>
      <c r="H261" s="12" t="s">
        <v>10</v>
      </c>
      <c r="I261" s="12"/>
      <c r="J261" s="14"/>
    </row>
    <row r="262" spans="1:10">
      <c r="A262" s="8">
        <v>45956</v>
      </c>
      <c r="B262" s="12">
        <v>656</v>
      </c>
      <c r="C262" s="13" t="s">
        <v>73</v>
      </c>
      <c r="D262" s="12">
        <v>155</v>
      </c>
      <c r="E262" s="12">
        <v>155</v>
      </c>
      <c r="F262" s="12"/>
      <c r="G262" s="12"/>
      <c r="H262" s="12" t="s">
        <v>10</v>
      </c>
      <c r="I262" s="12"/>
      <c r="J262" s="14"/>
    </row>
    <row r="263" spans="1:10">
      <c r="A263" s="8">
        <v>45956</v>
      </c>
      <c r="B263" s="12">
        <v>661</v>
      </c>
      <c r="C263" s="13" t="s">
        <v>30</v>
      </c>
      <c r="D263" s="12">
        <v>420</v>
      </c>
      <c r="E263" s="12">
        <v>420</v>
      </c>
      <c r="F263" s="12"/>
      <c r="G263" s="12"/>
      <c r="H263" s="12" t="s">
        <v>10</v>
      </c>
      <c r="I263" s="12"/>
      <c r="J263" s="14"/>
    </row>
    <row r="264" spans="1:10">
      <c r="A264" s="8">
        <v>45956</v>
      </c>
      <c r="B264" s="12">
        <v>1861</v>
      </c>
      <c r="C264" s="13" t="s">
        <v>14</v>
      </c>
      <c r="D264" s="12">
        <v>804</v>
      </c>
      <c r="E264" s="12">
        <v>804</v>
      </c>
      <c r="F264" s="12"/>
      <c r="G264" s="12"/>
      <c r="H264" s="12" t="s">
        <v>10</v>
      </c>
      <c r="I264" s="12"/>
      <c r="J264" s="14"/>
    </row>
    <row r="265" spans="1:10">
      <c r="A265" s="8">
        <v>45956</v>
      </c>
      <c r="B265" s="12">
        <v>963</v>
      </c>
      <c r="C265" s="13" t="s">
        <v>18</v>
      </c>
      <c r="D265" s="12">
        <v>498</v>
      </c>
      <c r="E265" s="12">
        <v>498</v>
      </c>
      <c r="F265" s="12"/>
      <c r="G265" s="12"/>
      <c r="H265" s="12" t="s">
        <v>10</v>
      </c>
      <c r="I265" s="12"/>
      <c r="J265" s="14"/>
    </row>
    <row r="266" spans="1:10">
      <c r="A266" s="8">
        <v>45956</v>
      </c>
      <c r="B266" s="12">
        <v>8839</v>
      </c>
      <c r="C266" s="13" t="s">
        <v>20</v>
      </c>
      <c r="D266" s="12">
        <v>692</v>
      </c>
      <c r="E266" s="12">
        <v>692</v>
      </c>
      <c r="F266" s="12"/>
      <c r="G266" s="12"/>
      <c r="H266" s="12" t="s">
        <v>10</v>
      </c>
      <c r="I266" s="12"/>
      <c r="J266" s="14"/>
    </row>
    <row r="267" spans="1:10">
      <c r="A267" s="8">
        <v>45957</v>
      </c>
      <c r="B267" s="12">
        <v>909</v>
      </c>
      <c r="C267" s="13" t="s">
        <v>11</v>
      </c>
      <c r="D267" s="12">
        <v>606</v>
      </c>
      <c r="E267" s="12">
        <v>606</v>
      </c>
      <c r="F267" s="12"/>
      <c r="G267" s="12"/>
      <c r="H267" s="12" t="s">
        <v>10</v>
      </c>
      <c r="I267" s="12">
        <f>SUM(E267:E277)</f>
        <v>4020</v>
      </c>
      <c r="J267" s="14"/>
    </row>
    <row r="268" spans="1:10">
      <c r="A268" s="8">
        <v>45957</v>
      </c>
      <c r="B268" s="12">
        <v>6639</v>
      </c>
      <c r="C268" s="13" t="s">
        <v>9</v>
      </c>
      <c r="D268" s="12">
        <v>576</v>
      </c>
      <c r="E268" s="12">
        <v>576</v>
      </c>
      <c r="F268" s="12"/>
      <c r="G268" s="12"/>
      <c r="H268" s="12" t="s">
        <v>10</v>
      </c>
      <c r="I268" s="12"/>
      <c r="J268" s="14"/>
    </row>
    <row r="269" spans="1:10">
      <c r="A269" s="8">
        <v>45957</v>
      </c>
      <c r="B269" s="12">
        <v>625</v>
      </c>
      <c r="C269" s="13" t="s">
        <v>12</v>
      </c>
      <c r="D269" s="12">
        <v>540</v>
      </c>
      <c r="E269" s="12">
        <v>540</v>
      </c>
      <c r="F269" s="12"/>
      <c r="G269" s="12"/>
      <c r="H269" s="12" t="s">
        <v>10</v>
      </c>
      <c r="I269" s="12"/>
      <c r="J269" s="14"/>
    </row>
    <row r="270" spans="1:10">
      <c r="A270" s="8">
        <v>45957</v>
      </c>
      <c r="B270" s="12">
        <v>627</v>
      </c>
      <c r="C270" s="13" t="s">
        <v>71</v>
      </c>
      <c r="D270" s="12">
        <v>300</v>
      </c>
      <c r="E270" s="12">
        <v>300</v>
      </c>
      <c r="F270" s="12"/>
      <c r="G270" s="12"/>
      <c r="H270" s="12" t="s">
        <v>10</v>
      </c>
      <c r="I270" s="12"/>
      <c r="J270" s="14"/>
    </row>
    <row r="271" spans="1:10">
      <c r="A271" s="8">
        <v>45957</v>
      </c>
      <c r="B271" s="12">
        <v>965</v>
      </c>
      <c r="C271" s="13" t="s">
        <v>28</v>
      </c>
      <c r="D271" s="12">
        <v>224</v>
      </c>
      <c r="E271" s="12">
        <v>224</v>
      </c>
      <c r="F271" s="12"/>
      <c r="G271" s="12"/>
      <c r="H271" s="12" t="s">
        <v>10</v>
      </c>
      <c r="I271" s="12"/>
      <c r="J271" s="14"/>
    </row>
    <row r="272" spans="1:10">
      <c r="A272" s="8">
        <v>45957</v>
      </c>
      <c r="B272" s="12">
        <v>985</v>
      </c>
      <c r="C272" s="13" t="s">
        <v>26</v>
      </c>
      <c r="D272" s="12">
        <v>144</v>
      </c>
      <c r="E272" s="12">
        <v>144</v>
      </c>
      <c r="F272" s="12"/>
      <c r="G272" s="12"/>
      <c r="H272" s="12" t="s">
        <v>10</v>
      </c>
      <c r="I272" s="12"/>
      <c r="J272" s="14"/>
    </row>
    <row r="273" spans="1:10">
      <c r="A273" s="8">
        <v>45957</v>
      </c>
      <c r="B273" s="12">
        <v>992</v>
      </c>
      <c r="C273" s="13" t="s">
        <v>15</v>
      </c>
      <c r="D273" s="12">
        <v>438</v>
      </c>
      <c r="E273" s="12">
        <v>438</v>
      </c>
      <c r="F273" s="12"/>
      <c r="G273" s="12"/>
      <c r="H273" s="12" t="s">
        <v>10</v>
      </c>
      <c r="I273" s="12"/>
      <c r="J273" s="14"/>
    </row>
    <row r="274" spans="1:10">
      <c r="A274" s="8">
        <v>45957</v>
      </c>
      <c r="B274" s="12">
        <v>991</v>
      </c>
      <c r="C274" s="13" t="s">
        <v>27</v>
      </c>
      <c r="D274" s="12">
        <v>252</v>
      </c>
      <c r="E274" s="12">
        <v>252</v>
      </c>
      <c r="F274" s="12"/>
      <c r="G274" s="12"/>
      <c r="H274" s="12" t="s">
        <v>10</v>
      </c>
      <c r="I274" s="12"/>
      <c r="J274" s="14"/>
    </row>
    <row r="275" spans="1:10">
      <c r="A275" s="8">
        <v>45957</v>
      </c>
      <c r="B275" s="12">
        <v>987</v>
      </c>
      <c r="C275" s="13" t="s">
        <v>16</v>
      </c>
      <c r="D275" s="12">
        <v>236</v>
      </c>
      <c r="E275" s="12">
        <v>236</v>
      </c>
      <c r="F275" s="12"/>
      <c r="G275" s="12"/>
      <c r="H275" s="12" t="s">
        <v>10</v>
      </c>
      <c r="I275" s="12"/>
      <c r="J275" s="14"/>
    </row>
    <row r="276" spans="1:10">
      <c r="A276" s="8">
        <v>45957</v>
      </c>
      <c r="B276" s="12">
        <v>962</v>
      </c>
      <c r="C276" s="13" t="s">
        <v>19</v>
      </c>
      <c r="D276" s="12">
        <v>140</v>
      </c>
      <c r="E276" s="12">
        <v>140</v>
      </c>
      <c r="F276" s="12"/>
      <c r="G276" s="12"/>
      <c r="H276" s="12" t="s">
        <v>10</v>
      </c>
      <c r="I276" s="12"/>
      <c r="J276" s="14"/>
    </row>
    <row r="277" spans="1:10">
      <c r="A277" s="8">
        <v>45957</v>
      </c>
      <c r="B277" s="12">
        <v>1861</v>
      </c>
      <c r="C277" s="13" t="s">
        <v>14</v>
      </c>
      <c r="D277" s="12">
        <v>564</v>
      </c>
      <c r="E277" s="12">
        <v>564</v>
      </c>
      <c r="F277" s="12"/>
      <c r="G277" s="12"/>
      <c r="H277" s="12" t="s">
        <v>10</v>
      </c>
      <c r="I277" s="12"/>
      <c r="J277" s="14"/>
    </row>
    <row r="278" spans="1:10">
      <c r="A278" s="8">
        <v>45958</v>
      </c>
      <c r="B278" s="12">
        <v>909</v>
      </c>
      <c r="C278" s="13" t="s">
        <v>11</v>
      </c>
      <c r="D278" s="12">
        <v>757</v>
      </c>
      <c r="E278" s="12">
        <v>757</v>
      </c>
      <c r="F278" s="12"/>
      <c r="G278" s="12"/>
      <c r="H278" s="12" t="s">
        <v>10</v>
      </c>
      <c r="I278" s="12">
        <f>SUM(E278:E290)</f>
        <v>4190</v>
      </c>
      <c r="J278" s="14"/>
    </row>
    <row r="279" spans="1:10">
      <c r="A279" s="8">
        <v>45958</v>
      </c>
      <c r="B279" s="12">
        <v>8839</v>
      </c>
      <c r="C279" s="13" t="s">
        <v>20</v>
      </c>
      <c r="D279" s="12">
        <v>720</v>
      </c>
      <c r="E279" s="12">
        <v>720</v>
      </c>
      <c r="F279" s="12"/>
      <c r="G279" s="12"/>
      <c r="H279" s="12" t="s">
        <v>10</v>
      </c>
      <c r="I279" s="12"/>
      <c r="J279" s="14"/>
    </row>
    <row r="280" spans="1:10">
      <c r="A280" s="8">
        <v>45958</v>
      </c>
      <c r="B280" s="12">
        <v>632</v>
      </c>
      <c r="C280" s="13" t="s">
        <v>29</v>
      </c>
      <c r="D280" s="12">
        <v>516</v>
      </c>
      <c r="E280" s="12">
        <v>516</v>
      </c>
      <c r="F280" s="12"/>
      <c r="G280" s="12"/>
      <c r="H280" s="12" t="s">
        <v>10</v>
      </c>
      <c r="I280" s="12"/>
      <c r="J280" s="14"/>
    </row>
    <row r="281" spans="1:10">
      <c r="A281" s="8">
        <v>45958</v>
      </c>
      <c r="B281" s="12">
        <v>625</v>
      </c>
      <c r="C281" s="13" t="s">
        <v>12</v>
      </c>
      <c r="D281" s="12">
        <v>512</v>
      </c>
      <c r="E281" s="12">
        <v>512</v>
      </c>
      <c r="F281" s="12"/>
      <c r="G281" s="12"/>
      <c r="H281" s="12" t="s">
        <v>10</v>
      </c>
      <c r="I281" s="12"/>
      <c r="J281" s="14"/>
    </row>
    <row r="282" spans="1:10">
      <c r="A282" s="8">
        <v>45958</v>
      </c>
      <c r="B282" s="12">
        <v>661</v>
      </c>
      <c r="C282" s="13" t="s">
        <v>30</v>
      </c>
      <c r="D282" s="12">
        <v>364</v>
      </c>
      <c r="E282" s="12">
        <v>364</v>
      </c>
      <c r="F282" s="12"/>
      <c r="G282" s="12"/>
      <c r="H282" s="12" t="s">
        <v>10</v>
      </c>
      <c r="I282" s="12"/>
      <c r="J282" s="14"/>
    </row>
    <row r="283" spans="1:10">
      <c r="A283" s="8">
        <v>45958</v>
      </c>
      <c r="B283" s="12">
        <v>627</v>
      </c>
      <c r="C283" s="13" t="s">
        <v>71</v>
      </c>
      <c r="D283" s="12">
        <v>206</v>
      </c>
      <c r="E283" s="12">
        <v>206</v>
      </c>
      <c r="F283" s="12"/>
      <c r="G283" s="12"/>
      <c r="H283" s="12" t="s">
        <v>10</v>
      </c>
      <c r="I283" s="12"/>
      <c r="J283" s="14"/>
    </row>
    <row r="284" spans="1:10">
      <c r="A284" s="8">
        <v>45958</v>
      </c>
      <c r="B284" s="12">
        <v>659</v>
      </c>
      <c r="C284" s="13" t="s">
        <v>21</v>
      </c>
      <c r="D284" s="12">
        <v>141</v>
      </c>
      <c r="E284" s="12">
        <v>141</v>
      </c>
      <c r="F284" s="12"/>
      <c r="G284" s="12"/>
      <c r="H284" s="12" t="s">
        <v>10</v>
      </c>
      <c r="I284" s="12"/>
      <c r="J284" s="14"/>
    </row>
    <row r="285" spans="1:10">
      <c r="A285" s="8">
        <v>45958</v>
      </c>
      <c r="B285" s="12">
        <v>6639</v>
      </c>
      <c r="C285" s="13" t="s">
        <v>9</v>
      </c>
      <c r="D285" s="12">
        <v>2</v>
      </c>
      <c r="E285" s="12">
        <v>2</v>
      </c>
      <c r="F285" s="12"/>
      <c r="G285" s="12"/>
      <c r="H285" s="12" t="s">
        <v>10</v>
      </c>
      <c r="I285" s="12"/>
      <c r="J285" s="14"/>
    </row>
    <row r="286" spans="1:10">
      <c r="A286" s="8">
        <v>45958</v>
      </c>
      <c r="B286" s="12">
        <v>991</v>
      </c>
      <c r="C286" s="13" t="s">
        <v>27</v>
      </c>
      <c r="D286" s="12">
        <v>485</v>
      </c>
      <c r="E286" s="12">
        <v>485</v>
      </c>
      <c r="F286" s="12"/>
      <c r="G286" s="12"/>
      <c r="H286" s="12" t="s">
        <v>10</v>
      </c>
      <c r="I286" s="12"/>
      <c r="J286" s="14"/>
    </row>
    <row r="287" spans="1:10">
      <c r="A287" s="8">
        <v>45958</v>
      </c>
      <c r="B287" s="12">
        <v>992</v>
      </c>
      <c r="C287" s="13" t="s">
        <v>15</v>
      </c>
      <c r="D287" s="12">
        <v>123</v>
      </c>
      <c r="E287" s="12">
        <v>123</v>
      </c>
      <c r="F287" s="12"/>
      <c r="G287" s="12"/>
      <c r="H287" s="12" t="s">
        <v>10</v>
      </c>
      <c r="I287" s="12"/>
      <c r="J287" s="14"/>
    </row>
    <row r="288" spans="1:10">
      <c r="A288" s="8">
        <v>45958</v>
      </c>
      <c r="B288" s="12">
        <v>987</v>
      </c>
      <c r="C288" s="13" t="s">
        <v>16</v>
      </c>
      <c r="D288" s="12">
        <v>180</v>
      </c>
      <c r="E288" s="12">
        <v>180</v>
      </c>
      <c r="F288" s="12"/>
      <c r="G288" s="12"/>
      <c r="H288" s="12" t="s">
        <v>10</v>
      </c>
      <c r="I288" s="12"/>
      <c r="J288" s="14"/>
    </row>
    <row r="289" spans="1:10">
      <c r="A289" s="8">
        <v>45958</v>
      </c>
      <c r="B289" s="12">
        <v>988</v>
      </c>
      <c r="C289" s="13" t="s">
        <v>17</v>
      </c>
      <c r="D289" s="12">
        <v>136</v>
      </c>
      <c r="E289" s="12">
        <v>136</v>
      </c>
      <c r="F289" s="12"/>
      <c r="G289" s="12"/>
      <c r="H289" s="12" t="s">
        <v>10</v>
      </c>
      <c r="I289" s="12"/>
      <c r="J289" s="14"/>
    </row>
    <row r="290" spans="1:10">
      <c r="A290" s="8">
        <v>45958</v>
      </c>
      <c r="B290" s="12">
        <v>978</v>
      </c>
      <c r="C290" s="13" t="s">
        <v>25</v>
      </c>
      <c r="D290" s="12">
        <v>48</v>
      </c>
      <c r="E290" s="12">
        <v>48</v>
      </c>
      <c r="F290" s="12"/>
      <c r="G290" s="12"/>
      <c r="H290" s="12" t="s">
        <v>10</v>
      </c>
      <c r="I290" s="12"/>
      <c r="J290" s="14"/>
    </row>
    <row r="291" spans="1:10">
      <c r="A291" s="8">
        <v>45960</v>
      </c>
      <c r="B291" s="12">
        <v>963</v>
      </c>
      <c r="C291" s="13" t="s">
        <v>18</v>
      </c>
      <c r="D291" s="12">
        <v>216</v>
      </c>
      <c r="E291" s="12">
        <v>216</v>
      </c>
      <c r="F291" s="12"/>
      <c r="G291" s="12"/>
      <c r="H291" s="12" t="s">
        <v>10</v>
      </c>
      <c r="I291" s="12">
        <f>SUM(E291:E306)</f>
        <v>4728</v>
      </c>
      <c r="J291" s="14"/>
    </row>
    <row r="292" spans="1:10">
      <c r="A292" s="8">
        <v>45960</v>
      </c>
      <c r="B292" s="12">
        <v>967</v>
      </c>
      <c r="C292" s="13" t="s">
        <v>72</v>
      </c>
      <c r="D292" s="12">
        <v>228</v>
      </c>
      <c r="E292" s="12">
        <v>228</v>
      </c>
      <c r="F292" s="12"/>
      <c r="G292" s="12"/>
      <c r="H292" s="12" t="s">
        <v>10</v>
      </c>
      <c r="I292" s="12"/>
      <c r="J292" s="14"/>
    </row>
    <row r="293" spans="1:10">
      <c r="A293" s="8">
        <v>45960</v>
      </c>
      <c r="B293" s="12">
        <v>965</v>
      </c>
      <c r="C293" s="13" t="s">
        <v>28</v>
      </c>
      <c r="D293" s="12">
        <v>340</v>
      </c>
      <c r="E293" s="12">
        <v>340</v>
      </c>
      <c r="F293" s="12"/>
      <c r="G293" s="12"/>
      <c r="H293" s="12" t="s">
        <v>10</v>
      </c>
      <c r="I293" s="12"/>
      <c r="J293" s="14"/>
    </row>
    <row r="294" spans="1:10">
      <c r="A294" s="8">
        <v>45960</v>
      </c>
      <c r="B294" s="12">
        <v>962</v>
      </c>
      <c r="C294" s="13" t="s">
        <v>19</v>
      </c>
      <c r="D294" s="12">
        <v>156</v>
      </c>
      <c r="E294" s="12">
        <v>156</v>
      </c>
      <c r="F294" s="12"/>
      <c r="G294" s="12"/>
      <c r="H294" s="12" t="s">
        <v>10</v>
      </c>
      <c r="I294" s="12"/>
      <c r="J294" s="14"/>
    </row>
    <row r="295" spans="1:10">
      <c r="A295" s="8">
        <v>45960</v>
      </c>
      <c r="B295" s="12">
        <v>991</v>
      </c>
      <c r="C295" s="13" t="s">
        <v>27</v>
      </c>
      <c r="D295" s="12">
        <v>310</v>
      </c>
      <c r="E295" s="12">
        <v>310</v>
      </c>
      <c r="F295" s="12"/>
      <c r="G295" s="12"/>
      <c r="H295" s="12" t="s">
        <v>10</v>
      </c>
      <c r="I295" s="12"/>
      <c r="J295" s="14"/>
    </row>
    <row r="296" spans="1:10">
      <c r="A296" s="8">
        <v>45960</v>
      </c>
      <c r="B296" s="12">
        <v>992</v>
      </c>
      <c r="C296" s="13" t="s">
        <v>15</v>
      </c>
      <c r="D296" s="12">
        <v>253</v>
      </c>
      <c r="E296" s="12">
        <v>253</v>
      </c>
      <c r="F296" s="12"/>
      <c r="G296" s="12"/>
      <c r="H296" s="12" t="s">
        <v>10</v>
      </c>
      <c r="I296" s="12"/>
      <c r="J296" s="14"/>
    </row>
    <row r="297" spans="1:10">
      <c r="A297" s="8">
        <v>45960</v>
      </c>
      <c r="B297" s="12">
        <v>985</v>
      </c>
      <c r="C297" s="13" t="s">
        <v>26</v>
      </c>
      <c r="D297" s="12">
        <v>296</v>
      </c>
      <c r="E297" s="12">
        <v>296</v>
      </c>
      <c r="F297" s="12"/>
      <c r="G297" s="12"/>
      <c r="H297" s="12" t="s">
        <v>10</v>
      </c>
      <c r="I297" s="12"/>
      <c r="J297" s="14"/>
    </row>
    <row r="298" spans="1:10">
      <c r="A298" s="8">
        <v>45960</v>
      </c>
      <c r="B298" s="12">
        <v>987</v>
      </c>
      <c r="C298" s="13" t="s">
        <v>16</v>
      </c>
      <c r="D298" s="12">
        <v>150</v>
      </c>
      <c r="E298" s="12">
        <v>150</v>
      </c>
      <c r="F298" s="12"/>
      <c r="G298" s="12"/>
      <c r="H298" s="12" t="s">
        <v>10</v>
      </c>
      <c r="I298" s="12"/>
      <c r="J298" s="14"/>
    </row>
    <row r="299" spans="1:10">
      <c r="A299" s="8">
        <v>45960</v>
      </c>
      <c r="B299" s="12">
        <v>978</v>
      </c>
      <c r="C299" s="13" t="s">
        <v>25</v>
      </c>
      <c r="D299" s="12">
        <v>70</v>
      </c>
      <c r="E299" s="12">
        <v>70</v>
      </c>
      <c r="F299" s="12"/>
      <c r="G299" s="12"/>
      <c r="H299" s="12" t="s">
        <v>10</v>
      </c>
      <c r="I299" s="12"/>
      <c r="J299" s="14"/>
    </row>
    <row r="300" spans="1:10">
      <c r="A300" s="8">
        <v>45960</v>
      </c>
      <c r="B300" s="12">
        <v>988</v>
      </c>
      <c r="C300" s="13" t="s">
        <v>17</v>
      </c>
      <c r="D300" s="12">
        <v>117</v>
      </c>
      <c r="E300" s="12">
        <v>117</v>
      </c>
      <c r="F300" s="12"/>
      <c r="G300" s="12"/>
      <c r="H300" s="12" t="s">
        <v>10</v>
      </c>
      <c r="I300" s="12"/>
      <c r="J300" s="14"/>
    </row>
    <row r="301" spans="1:10">
      <c r="A301" s="8">
        <v>45960</v>
      </c>
      <c r="B301" s="12">
        <v>625</v>
      </c>
      <c r="C301" s="13" t="s">
        <v>12</v>
      </c>
      <c r="D301" s="12">
        <v>716</v>
      </c>
      <c r="E301" s="12">
        <v>716</v>
      </c>
      <c r="F301" s="12"/>
      <c r="G301" s="12"/>
      <c r="H301" s="12" t="s">
        <v>10</v>
      </c>
      <c r="I301" s="12"/>
      <c r="J301" s="14"/>
    </row>
    <row r="302" spans="1:10">
      <c r="A302" s="8">
        <v>45960</v>
      </c>
      <c r="B302" s="12">
        <v>6639</v>
      </c>
      <c r="C302" s="13" t="s">
        <v>9</v>
      </c>
      <c r="D302" s="12">
        <v>819</v>
      </c>
      <c r="E302" s="12">
        <v>819</v>
      </c>
      <c r="F302" s="12"/>
      <c r="G302" s="12"/>
      <c r="H302" s="12" t="s">
        <v>10</v>
      </c>
      <c r="I302" s="12"/>
      <c r="J302" s="14"/>
    </row>
    <row r="303" spans="1:10">
      <c r="A303" s="8">
        <v>45960</v>
      </c>
      <c r="B303" s="12">
        <v>909</v>
      </c>
      <c r="C303" s="13" t="s">
        <v>11</v>
      </c>
      <c r="D303" s="12">
        <v>302</v>
      </c>
      <c r="E303" s="12">
        <v>302</v>
      </c>
      <c r="F303" s="12"/>
      <c r="G303" s="12"/>
      <c r="H303" s="12" t="s">
        <v>10</v>
      </c>
      <c r="I303" s="12"/>
      <c r="J303" s="14"/>
    </row>
    <row r="304" spans="1:10">
      <c r="A304" s="8">
        <v>45960</v>
      </c>
      <c r="B304" s="12">
        <v>659</v>
      </c>
      <c r="C304" s="13" t="s">
        <v>21</v>
      </c>
      <c r="D304" s="12">
        <v>179</v>
      </c>
      <c r="E304" s="12">
        <v>179</v>
      </c>
      <c r="F304" s="12"/>
      <c r="G304" s="12"/>
      <c r="H304" s="12" t="s">
        <v>10</v>
      </c>
      <c r="I304" s="12"/>
      <c r="J304" s="14"/>
    </row>
    <row r="305" spans="1:10">
      <c r="A305" s="8">
        <v>45960</v>
      </c>
      <c r="B305" s="12">
        <v>661</v>
      </c>
      <c r="C305" s="13" t="s">
        <v>30</v>
      </c>
      <c r="D305" s="12">
        <v>312</v>
      </c>
      <c r="E305" s="12">
        <v>312</v>
      </c>
      <c r="F305" s="12"/>
      <c r="G305" s="12"/>
      <c r="H305" s="12" t="s">
        <v>10</v>
      </c>
      <c r="I305" s="12"/>
      <c r="J305" s="14"/>
    </row>
    <row r="306" spans="1:10">
      <c r="A306" s="8">
        <v>45960</v>
      </c>
      <c r="B306" s="12">
        <v>908</v>
      </c>
      <c r="C306" s="13" t="s">
        <v>23</v>
      </c>
      <c r="D306" s="12">
        <v>264</v>
      </c>
      <c r="E306" s="12">
        <v>264</v>
      </c>
      <c r="F306" s="12"/>
      <c r="G306" s="12"/>
      <c r="H306" s="12" t="s">
        <v>10</v>
      </c>
      <c r="I306" s="12"/>
      <c r="J306" s="14"/>
    </row>
    <row r="307" spans="1:10">
      <c r="A307" s="8">
        <v>45961</v>
      </c>
      <c r="B307" s="12">
        <v>981</v>
      </c>
      <c r="C307" s="13" t="s">
        <v>13</v>
      </c>
      <c r="D307" s="12">
        <v>275</v>
      </c>
      <c r="E307" s="12">
        <v>275</v>
      </c>
      <c r="F307" s="12"/>
      <c r="G307" s="12"/>
      <c r="H307" s="12" t="s">
        <v>10</v>
      </c>
      <c r="I307" s="12">
        <f>SUM(E307:E314)</f>
        <v>3072</v>
      </c>
      <c r="J307" s="14"/>
    </row>
    <row r="308" spans="1:10">
      <c r="A308" s="8">
        <v>45961</v>
      </c>
      <c r="B308" s="12">
        <v>653</v>
      </c>
      <c r="C308" s="13" t="s">
        <v>74</v>
      </c>
      <c r="D308" s="12">
        <v>216</v>
      </c>
      <c r="E308" s="12">
        <v>216</v>
      </c>
      <c r="F308" s="12"/>
      <c r="G308" s="12"/>
      <c r="H308" s="12" t="s">
        <v>10</v>
      </c>
      <c r="I308" s="12"/>
      <c r="J308" s="14"/>
    </row>
    <row r="309" spans="1:10">
      <c r="A309" s="8">
        <v>45961</v>
      </c>
      <c r="B309" s="12">
        <v>627</v>
      </c>
      <c r="C309" s="13" t="s">
        <v>71</v>
      </c>
      <c r="D309" s="12">
        <v>159</v>
      </c>
      <c r="E309" s="12">
        <v>159</v>
      </c>
      <c r="F309" s="12"/>
      <c r="G309" s="12"/>
      <c r="H309" s="12" t="s">
        <v>10</v>
      </c>
      <c r="I309" s="12"/>
      <c r="J309" s="14"/>
    </row>
    <row r="310" spans="1:10">
      <c r="A310" s="8">
        <v>45961</v>
      </c>
      <c r="B310" s="12">
        <v>6639</v>
      </c>
      <c r="C310" s="13" t="s">
        <v>9</v>
      </c>
      <c r="D310" s="12">
        <v>498</v>
      </c>
      <c r="E310" s="12">
        <v>498</v>
      </c>
      <c r="F310" s="12"/>
      <c r="G310" s="12"/>
      <c r="H310" s="12" t="s">
        <v>10</v>
      </c>
      <c r="I310" s="12"/>
      <c r="J310" s="14"/>
    </row>
    <row r="311" spans="1:10">
      <c r="A311" s="8">
        <v>45961</v>
      </c>
      <c r="B311" s="12">
        <v>625</v>
      </c>
      <c r="C311" s="13" t="s">
        <v>12</v>
      </c>
      <c r="D311" s="12">
        <v>456</v>
      </c>
      <c r="E311" s="12">
        <v>456</v>
      </c>
      <c r="F311" s="12"/>
      <c r="G311" s="12"/>
      <c r="H311" s="12" t="s">
        <v>10</v>
      </c>
      <c r="I311" s="12"/>
      <c r="J311" s="14"/>
    </row>
    <row r="312" spans="1:10">
      <c r="A312" s="8">
        <v>45961</v>
      </c>
      <c r="B312" s="12">
        <v>632</v>
      </c>
      <c r="C312" s="13" t="s">
        <v>29</v>
      </c>
      <c r="D312" s="12">
        <v>618</v>
      </c>
      <c r="E312" s="12">
        <v>618</v>
      </c>
      <c r="F312" s="12"/>
      <c r="G312" s="12"/>
      <c r="H312" s="12" t="s">
        <v>10</v>
      </c>
      <c r="I312" s="12"/>
      <c r="J312" s="14"/>
    </row>
    <row r="313" spans="1:10">
      <c r="A313" s="8">
        <v>45961</v>
      </c>
      <c r="B313" s="12">
        <v>845</v>
      </c>
      <c r="C313" s="13" t="s">
        <v>24</v>
      </c>
      <c r="D313" s="12">
        <v>304</v>
      </c>
      <c r="E313" s="12">
        <v>304</v>
      </c>
      <c r="F313" s="12"/>
      <c r="G313" s="12"/>
      <c r="H313" s="12" t="s">
        <v>10</v>
      </c>
      <c r="I313" s="12"/>
      <c r="J313" s="14"/>
    </row>
    <row r="314" spans="1:10">
      <c r="A314" s="8">
        <v>45961</v>
      </c>
      <c r="B314" s="12">
        <v>1861</v>
      </c>
      <c r="C314" s="13" t="s">
        <v>14</v>
      </c>
      <c r="D314" s="12">
        <v>546</v>
      </c>
      <c r="E314" s="12">
        <v>546</v>
      </c>
      <c r="F314" s="12"/>
      <c r="G314" s="12"/>
      <c r="H314" s="12" t="s">
        <v>10</v>
      </c>
      <c r="I314" s="12"/>
      <c r="J314" s="14"/>
    </row>
    <row r="315" spans="1:10">
      <c r="A315" s="30"/>
      <c r="B315" s="12"/>
      <c r="C315" s="31"/>
      <c r="D315" s="12"/>
      <c r="E315" s="12"/>
      <c r="F315" s="12"/>
      <c r="G315" s="12"/>
      <c r="H315" s="12"/>
      <c r="I315" s="12"/>
      <c r="J315" s="14">
        <f>SUM(I2:I314)</f>
        <v>99466</v>
      </c>
    </row>
    <row r="316" spans="1:10">
      <c r="A316" s="30"/>
      <c r="B316" s="12"/>
      <c r="C316" s="31"/>
      <c r="D316" s="12"/>
      <c r="E316" s="12"/>
      <c r="F316" s="12"/>
      <c r="G316" s="12"/>
      <c r="H316" s="12"/>
      <c r="I316" s="12"/>
      <c r="J316" s="14">
        <v>4620</v>
      </c>
    </row>
    <row r="317" spans="1:10">
      <c r="A317" s="32"/>
      <c r="B317" s="15"/>
      <c r="C317" s="22"/>
      <c r="D317" s="15"/>
      <c r="E317" s="15"/>
      <c r="F317" s="15"/>
      <c r="G317" s="15"/>
      <c r="H317" s="15"/>
      <c r="I317" s="15"/>
      <c r="J317" s="17">
        <f>J315+J316</f>
        <v>104086</v>
      </c>
    </row>
  </sheetData>
  <mergeCells count="26">
    <mergeCell ref="I2:I11"/>
    <mergeCell ref="I12:I25"/>
    <mergeCell ref="I26:I34"/>
    <mergeCell ref="I35:I43"/>
    <mergeCell ref="I44:I63"/>
    <mergeCell ref="I64:I72"/>
    <mergeCell ref="I73:I82"/>
    <mergeCell ref="I83:I88"/>
    <mergeCell ref="I89:I101"/>
    <mergeCell ref="I102:I116"/>
    <mergeCell ref="I117:I129"/>
    <mergeCell ref="I130:I138"/>
    <mergeCell ref="I139:I151"/>
    <mergeCell ref="I152:I164"/>
    <mergeCell ref="I165:I171"/>
    <mergeCell ref="I172:I186"/>
    <mergeCell ref="I187:I203"/>
    <mergeCell ref="I204:I215"/>
    <mergeCell ref="I216:I232"/>
    <mergeCell ref="I233:I244"/>
    <mergeCell ref="I245:I255"/>
    <mergeCell ref="I256:I266"/>
    <mergeCell ref="I267:I277"/>
    <mergeCell ref="I278:I290"/>
    <mergeCell ref="I291:I306"/>
    <mergeCell ref="I307:I3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1"/>
  <sheetViews>
    <sheetView zoomScale="90" zoomScaleNormal="90" workbookViewId="0">
      <pane ySplit="1" topLeftCell="A345" activePane="bottomLeft" state="frozen"/>
      <selection/>
      <selection pane="bottomLeft" activeCell="M17" sqref="M17"/>
    </sheetView>
  </sheetViews>
  <sheetFormatPr defaultColWidth="10" defaultRowHeight="13.5"/>
  <cols>
    <col min="1" max="1" width="8" style="1" customWidth="1"/>
    <col min="2" max="2" width="6.44166666666667" style="1" customWidth="1"/>
    <col min="3" max="3" width="7.33333333333333" style="2" customWidth="1"/>
    <col min="4" max="7" width="9.21666666666667" style="1" customWidth="1"/>
    <col min="8" max="8" width="5.10833333333333" style="1" customWidth="1"/>
    <col min="9" max="9" width="5.16666666666667" style="1" customWidth="1"/>
    <col min="10" max="11" width="10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27"/>
      <c r="K1" s="27"/>
      <c r="L1" s="27"/>
      <c r="M1" s="27"/>
      <c r="N1" s="27"/>
      <c r="O1" s="27"/>
      <c r="P1" s="27"/>
    </row>
    <row r="2" spans="1:16">
      <c r="A2" s="8">
        <v>45901</v>
      </c>
      <c r="B2" s="9">
        <v>9845</v>
      </c>
      <c r="C2" s="10" t="s">
        <v>80</v>
      </c>
      <c r="D2" s="9">
        <v>532</v>
      </c>
      <c r="E2" s="9">
        <v>532</v>
      </c>
      <c r="F2" s="9"/>
      <c r="G2" s="9"/>
      <c r="H2" s="9" t="s">
        <v>10</v>
      </c>
      <c r="I2" s="11">
        <f>SUM(E2:E8)</f>
        <v>1898</v>
      </c>
    </row>
    <row r="3" spans="1:16">
      <c r="A3" s="8">
        <v>45901</v>
      </c>
      <c r="B3" s="12">
        <v>1632</v>
      </c>
      <c r="C3" s="13" t="s">
        <v>78</v>
      </c>
      <c r="D3" s="12">
        <v>378</v>
      </c>
      <c r="E3" s="12">
        <v>378</v>
      </c>
      <c r="F3" s="12"/>
      <c r="G3" s="12"/>
      <c r="H3" s="12" t="s">
        <v>10</v>
      </c>
      <c r="I3" s="14"/>
    </row>
    <row r="4" spans="1:16">
      <c r="A4" s="8">
        <v>45901</v>
      </c>
      <c r="B4" s="12">
        <v>1656</v>
      </c>
      <c r="C4" s="13" t="s">
        <v>91</v>
      </c>
      <c r="D4" s="12">
        <v>356</v>
      </c>
      <c r="E4" s="12">
        <v>356</v>
      </c>
      <c r="F4" s="12"/>
      <c r="G4" s="12"/>
      <c r="H4" s="12" t="s">
        <v>10</v>
      </c>
      <c r="I4" s="14"/>
    </row>
    <row r="5" spans="1:16">
      <c r="A5" s="8">
        <v>45901</v>
      </c>
      <c r="B5" s="12">
        <v>1845</v>
      </c>
      <c r="C5" s="13" t="s">
        <v>85</v>
      </c>
      <c r="D5" s="12">
        <v>252</v>
      </c>
      <c r="E5" s="12">
        <v>252</v>
      </c>
      <c r="F5" s="12"/>
      <c r="G5" s="12"/>
      <c r="H5" s="12" t="s">
        <v>10</v>
      </c>
      <c r="I5" s="14"/>
    </row>
    <row r="6" spans="1:16">
      <c r="A6" s="8">
        <v>45901</v>
      </c>
      <c r="B6" s="12">
        <v>1650</v>
      </c>
      <c r="C6" s="13" t="s">
        <v>84</v>
      </c>
      <c r="D6" s="12">
        <v>216</v>
      </c>
      <c r="E6" s="12">
        <v>216</v>
      </c>
      <c r="F6" s="12"/>
      <c r="G6" s="12"/>
      <c r="H6" s="12" t="s">
        <v>10</v>
      </c>
      <c r="I6" s="14"/>
    </row>
    <row r="7" spans="1:16">
      <c r="A7" s="8">
        <v>45901</v>
      </c>
      <c r="B7" s="12">
        <v>9909</v>
      </c>
      <c r="C7" s="13" t="s">
        <v>86</v>
      </c>
      <c r="D7" s="12">
        <v>144</v>
      </c>
      <c r="E7" s="12">
        <v>144</v>
      </c>
      <c r="F7" s="12"/>
      <c r="G7" s="12"/>
      <c r="H7" s="12" t="s">
        <v>10</v>
      </c>
      <c r="I7" s="14"/>
    </row>
    <row r="8" spans="1:16">
      <c r="A8" s="8">
        <v>45901</v>
      </c>
      <c r="B8" s="12">
        <v>9843</v>
      </c>
      <c r="C8" s="13" t="s">
        <v>101</v>
      </c>
      <c r="D8" s="12">
        <v>20</v>
      </c>
      <c r="E8" s="12">
        <v>20</v>
      </c>
      <c r="F8" s="12"/>
      <c r="G8" s="12"/>
      <c r="H8" s="12" t="s">
        <v>10</v>
      </c>
      <c r="I8" s="14"/>
    </row>
    <row r="9" spans="1:16">
      <c r="A9" s="8">
        <v>45902</v>
      </c>
      <c r="B9" s="12">
        <v>9845</v>
      </c>
      <c r="C9" s="13" t="s">
        <v>80</v>
      </c>
      <c r="D9" s="12">
        <v>520</v>
      </c>
      <c r="E9" s="12">
        <v>520</v>
      </c>
      <c r="F9" s="12"/>
      <c r="G9" s="12"/>
      <c r="H9" s="12" t="s">
        <v>10</v>
      </c>
      <c r="I9" s="14">
        <f>SUM(E9:E25)</f>
        <v>3690</v>
      </c>
    </row>
    <row r="10" spans="1:16">
      <c r="A10" s="8">
        <v>45902</v>
      </c>
      <c r="B10" s="12">
        <v>9632</v>
      </c>
      <c r="C10" s="13" t="s">
        <v>75</v>
      </c>
      <c r="D10" s="12">
        <v>408</v>
      </c>
      <c r="E10" s="12">
        <v>408</v>
      </c>
      <c r="F10" s="12"/>
      <c r="G10" s="12"/>
      <c r="H10" s="12" t="s">
        <v>10</v>
      </c>
      <c r="I10" s="14"/>
    </row>
    <row r="11" spans="1:16">
      <c r="A11" s="8">
        <v>45902</v>
      </c>
      <c r="B11" s="12">
        <v>639</v>
      </c>
      <c r="C11" s="13" t="s">
        <v>102</v>
      </c>
      <c r="D11" s="12">
        <v>303</v>
      </c>
      <c r="E11" s="12">
        <v>303</v>
      </c>
      <c r="F11" s="12"/>
      <c r="G11" s="12"/>
      <c r="H11" s="12" t="s">
        <v>10</v>
      </c>
      <c r="I11" s="14"/>
    </row>
    <row r="12" spans="1:16">
      <c r="A12" s="8">
        <v>45902</v>
      </c>
      <c r="B12" s="12">
        <v>9908</v>
      </c>
      <c r="C12" s="13" t="s">
        <v>89</v>
      </c>
      <c r="D12" s="12">
        <v>292</v>
      </c>
      <c r="E12" s="12">
        <v>292</v>
      </c>
      <c r="F12" s="12"/>
      <c r="G12" s="12"/>
      <c r="H12" s="12" t="s">
        <v>10</v>
      </c>
      <c r="I12" s="14"/>
    </row>
    <row r="13" spans="1:16">
      <c r="A13" s="8">
        <v>45902</v>
      </c>
      <c r="B13" s="12">
        <v>9909</v>
      </c>
      <c r="C13" s="13" t="s">
        <v>86</v>
      </c>
      <c r="D13" s="12">
        <v>236</v>
      </c>
      <c r="E13" s="12">
        <v>236</v>
      </c>
      <c r="F13" s="12"/>
      <c r="G13" s="12"/>
      <c r="H13" s="12" t="s">
        <v>10</v>
      </c>
      <c r="I13" s="14"/>
    </row>
    <row r="14" spans="1:16">
      <c r="A14" s="8">
        <v>45902</v>
      </c>
      <c r="B14" s="12">
        <v>1909</v>
      </c>
      <c r="C14" s="13" t="s">
        <v>83</v>
      </c>
      <c r="D14" s="12">
        <v>442</v>
      </c>
      <c r="E14" s="12">
        <v>442</v>
      </c>
      <c r="F14" s="12"/>
      <c r="G14" s="12"/>
      <c r="H14" s="12" t="s">
        <v>10</v>
      </c>
      <c r="I14" s="14"/>
    </row>
    <row r="15" spans="1:16">
      <c r="A15" s="8">
        <v>45902</v>
      </c>
      <c r="B15" s="12">
        <v>1908</v>
      </c>
      <c r="C15" s="13" t="s">
        <v>77</v>
      </c>
      <c r="D15" s="12">
        <v>12</v>
      </c>
      <c r="E15" s="12">
        <v>12</v>
      </c>
      <c r="F15" s="12"/>
      <c r="G15" s="12"/>
      <c r="H15" s="12" t="s">
        <v>10</v>
      </c>
      <c r="I15" s="14"/>
    </row>
    <row r="16" spans="1:16">
      <c r="A16" s="8">
        <v>45902</v>
      </c>
      <c r="B16" s="12">
        <v>1651</v>
      </c>
      <c r="C16" s="13" t="s">
        <v>103</v>
      </c>
      <c r="D16" s="12">
        <v>321</v>
      </c>
      <c r="E16" s="12">
        <v>321</v>
      </c>
      <c r="F16" s="12"/>
      <c r="G16" s="12"/>
      <c r="H16" s="12" t="s">
        <v>10</v>
      </c>
      <c r="I16" s="14"/>
    </row>
    <row r="17" spans="1:9">
      <c r="A17" s="8">
        <v>45902</v>
      </c>
      <c r="B17" s="12">
        <v>1632</v>
      </c>
      <c r="C17" s="13" t="s">
        <v>78</v>
      </c>
      <c r="D17" s="12">
        <v>6</v>
      </c>
      <c r="E17" s="12">
        <v>6</v>
      </c>
      <c r="F17" s="12"/>
      <c r="G17" s="12"/>
      <c r="H17" s="12" t="s">
        <v>10</v>
      </c>
      <c r="I17" s="14"/>
    </row>
    <row r="18" spans="1:9">
      <c r="A18" s="8">
        <v>45902</v>
      </c>
      <c r="B18" s="12">
        <v>1652</v>
      </c>
      <c r="C18" s="13" t="s">
        <v>104</v>
      </c>
      <c r="D18" s="12">
        <v>6</v>
      </c>
      <c r="E18" s="12">
        <v>6</v>
      </c>
      <c r="F18" s="12"/>
      <c r="G18" s="12"/>
      <c r="H18" s="12" t="s">
        <v>10</v>
      </c>
      <c r="I18" s="14"/>
    </row>
    <row r="19" spans="1:9">
      <c r="A19" s="8">
        <v>45902</v>
      </c>
      <c r="B19" s="12">
        <v>1653</v>
      </c>
      <c r="C19" s="13" t="s">
        <v>95</v>
      </c>
      <c r="D19" s="12">
        <v>256</v>
      </c>
      <c r="E19" s="12">
        <v>256</v>
      </c>
      <c r="F19" s="12"/>
      <c r="G19" s="12"/>
      <c r="H19" s="12" t="s">
        <v>10</v>
      </c>
      <c r="I19" s="14"/>
    </row>
    <row r="20" spans="1:9">
      <c r="A20" s="8">
        <v>45902</v>
      </c>
      <c r="B20" s="12">
        <v>1650</v>
      </c>
      <c r="C20" s="13" t="s">
        <v>84</v>
      </c>
      <c r="D20" s="12">
        <v>6</v>
      </c>
      <c r="E20" s="12">
        <v>6</v>
      </c>
      <c r="F20" s="12"/>
      <c r="G20" s="12"/>
      <c r="H20" s="12" t="s">
        <v>10</v>
      </c>
      <c r="I20" s="14"/>
    </row>
    <row r="21" spans="1:9">
      <c r="A21" s="8">
        <v>45902</v>
      </c>
      <c r="B21" s="12">
        <v>1639</v>
      </c>
      <c r="C21" s="13" t="s">
        <v>88</v>
      </c>
      <c r="D21" s="12">
        <v>285</v>
      </c>
      <c r="E21" s="12">
        <v>285</v>
      </c>
      <c r="F21" s="12"/>
      <c r="G21" s="12"/>
      <c r="H21" s="12" t="s">
        <v>10</v>
      </c>
      <c r="I21" s="14"/>
    </row>
    <row r="22" spans="1:9">
      <c r="A22" s="8">
        <v>45902</v>
      </c>
      <c r="B22" s="12">
        <v>1627</v>
      </c>
      <c r="C22" s="13" t="s">
        <v>79</v>
      </c>
      <c r="D22" s="12">
        <v>279</v>
      </c>
      <c r="E22" s="12">
        <v>279</v>
      </c>
      <c r="F22" s="12"/>
      <c r="G22" s="12"/>
      <c r="H22" s="12" t="s">
        <v>10</v>
      </c>
      <c r="I22" s="14"/>
    </row>
    <row r="23" spans="1:9">
      <c r="A23" s="8">
        <v>45902</v>
      </c>
      <c r="B23" s="12">
        <v>9627</v>
      </c>
      <c r="C23" s="13" t="s">
        <v>82</v>
      </c>
      <c r="D23" s="12">
        <v>63</v>
      </c>
      <c r="E23" s="12">
        <v>63</v>
      </c>
      <c r="F23" s="12"/>
      <c r="G23" s="12"/>
      <c r="H23" s="12" t="s">
        <v>10</v>
      </c>
      <c r="I23" s="14"/>
    </row>
    <row r="24" spans="1:9">
      <c r="A24" s="8">
        <v>45902</v>
      </c>
      <c r="B24" s="12">
        <v>1625</v>
      </c>
      <c r="C24" s="13" t="s">
        <v>90</v>
      </c>
      <c r="D24" s="12">
        <v>246</v>
      </c>
      <c r="E24" s="12">
        <v>246</v>
      </c>
      <c r="F24" s="12"/>
      <c r="G24" s="12"/>
      <c r="H24" s="12" t="s">
        <v>10</v>
      </c>
      <c r="I24" s="14"/>
    </row>
    <row r="25" spans="1:9">
      <c r="A25" s="8">
        <v>45902</v>
      </c>
      <c r="B25" s="12">
        <v>1656</v>
      </c>
      <c r="C25" s="13" t="s">
        <v>91</v>
      </c>
      <c r="D25" s="12">
        <v>9</v>
      </c>
      <c r="E25" s="12">
        <v>9</v>
      </c>
      <c r="F25" s="12"/>
      <c r="G25" s="12"/>
      <c r="H25" s="12" t="s">
        <v>10</v>
      </c>
      <c r="I25" s="14"/>
    </row>
    <row r="26" spans="1:9">
      <c r="A26" s="8">
        <v>45903</v>
      </c>
      <c r="B26" s="12">
        <v>9845</v>
      </c>
      <c r="C26" s="13" t="s">
        <v>80</v>
      </c>
      <c r="D26" s="12">
        <v>560</v>
      </c>
      <c r="E26" s="12">
        <v>560</v>
      </c>
      <c r="F26" s="12"/>
      <c r="G26" s="12"/>
      <c r="H26" s="12" t="s">
        <v>10</v>
      </c>
      <c r="I26" s="14">
        <f>SUM(E26:E37)</f>
        <v>3790</v>
      </c>
    </row>
    <row r="27" spans="1:9">
      <c r="A27" s="8">
        <v>45903</v>
      </c>
      <c r="B27" s="12">
        <v>9632</v>
      </c>
      <c r="C27" s="13" t="s">
        <v>75</v>
      </c>
      <c r="D27" s="12">
        <v>516</v>
      </c>
      <c r="E27" s="12">
        <v>516</v>
      </c>
      <c r="F27" s="12"/>
      <c r="G27" s="12"/>
      <c r="H27" s="12" t="s">
        <v>10</v>
      </c>
      <c r="I27" s="14"/>
    </row>
    <row r="28" spans="1:9">
      <c r="A28" s="8">
        <v>45903</v>
      </c>
      <c r="B28" s="12">
        <v>9625</v>
      </c>
      <c r="C28" s="13" t="s">
        <v>81</v>
      </c>
      <c r="D28" s="12">
        <v>90</v>
      </c>
      <c r="E28" s="12">
        <v>90</v>
      </c>
      <c r="F28" s="12"/>
      <c r="G28" s="12"/>
      <c r="H28" s="12" t="s">
        <v>10</v>
      </c>
      <c r="I28" s="14"/>
    </row>
    <row r="29" spans="1:9">
      <c r="A29" s="8">
        <v>45903</v>
      </c>
      <c r="B29" s="12">
        <v>9909</v>
      </c>
      <c r="C29" s="13" t="s">
        <v>86</v>
      </c>
      <c r="D29" s="12">
        <v>280</v>
      </c>
      <c r="E29" s="12">
        <v>280</v>
      </c>
      <c r="F29" s="12"/>
      <c r="G29" s="12"/>
      <c r="H29" s="12" t="s">
        <v>10</v>
      </c>
      <c r="I29" s="14"/>
    </row>
    <row r="30" spans="1:9">
      <c r="A30" s="8">
        <v>45903</v>
      </c>
      <c r="B30" s="12">
        <v>9908</v>
      </c>
      <c r="C30" s="13" t="s">
        <v>89</v>
      </c>
      <c r="D30" s="12">
        <v>300</v>
      </c>
      <c r="E30" s="12">
        <v>300</v>
      </c>
      <c r="F30" s="12"/>
      <c r="G30" s="12"/>
      <c r="H30" s="12" t="s">
        <v>10</v>
      </c>
      <c r="I30" s="14"/>
    </row>
    <row r="31" spans="1:9">
      <c r="A31" s="8">
        <v>45903</v>
      </c>
      <c r="B31" s="12">
        <v>9839</v>
      </c>
      <c r="C31" s="13" t="s">
        <v>93</v>
      </c>
      <c r="D31" s="12">
        <v>288</v>
      </c>
      <c r="E31" s="12">
        <v>288</v>
      </c>
      <c r="F31" s="12"/>
      <c r="G31" s="12"/>
      <c r="H31" s="12" t="s">
        <v>10</v>
      </c>
      <c r="I31" s="14"/>
    </row>
    <row r="32" spans="1:9">
      <c r="A32" s="8">
        <v>45903</v>
      </c>
      <c r="B32" s="12">
        <v>1909</v>
      </c>
      <c r="C32" s="13" t="s">
        <v>83</v>
      </c>
      <c r="D32" s="12">
        <v>436</v>
      </c>
      <c r="E32" s="12">
        <v>436</v>
      </c>
      <c r="F32" s="12"/>
      <c r="G32" s="12"/>
      <c r="H32" s="12" t="s">
        <v>10</v>
      </c>
      <c r="I32" s="14"/>
    </row>
    <row r="33" spans="1:9">
      <c r="A33" s="8">
        <v>45903</v>
      </c>
      <c r="B33" s="12">
        <v>1908</v>
      </c>
      <c r="C33" s="13" t="s">
        <v>77</v>
      </c>
      <c r="D33" s="12">
        <v>48</v>
      </c>
      <c r="E33" s="12">
        <v>48</v>
      </c>
      <c r="F33" s="12"/>
      <c r="G33" s="12"/>
      <c r="H33" s="12" t="s">
        <v>10</v>
      </c>
      <c r="I33" s="14"/>
    </row>
    <row r="34" spans="1:9">
      <c r="A34" s="8">
        <v>45903</v>
      </c>
      <c r="B34" s="12">
        <v>650</v>
      </c>
      <c r="C34" s="13" t="s">
        <v>92</v>
      </c>
      <c r="D34" s="12">
        <v>156</v>
      </c>
      <c r="E34" s="12">
        <v>156</v>
      </c>
      <c r="F34" s="12"/>
      <c r="G34" s="12"/>
      <c r="H34" s="12" t="s">
        <v>10</v>
      </c>
      <c r="I34" s="14"/>
    </row>
    <row r="35" spans="1:9">
      <c r="A35" s="8">
        <v>45903</v>
      </c>
      <c r="B35" s="12">
        <v>1845</v>
      </c>
      <c r="C35" s="13" t="s">
        <v>85</v>
      </c>
      <c r="D35" s="12">
        <v>364</v>
      </c>
      <c r="E35" s="12">
        <v>364</v>
      </c>
      <c r="F35" s="12"/>
      <c r="G35" s="12"/>
      <c r="H35" s="12" t="s">
        <v>10</v>
      </c>
      <c r="I35" s="14"/>
    </row>
    <row r="36" spans="1:9">
      <c r="A36" s="8">
        <v>45903</v>
      </c>
      <c r="B36" s="12">
        <v>1632</v>
      </c>
      <c r="C36" s="13" t="s">
        <v>78</v>
      </c>
      <c r="D36" s="12">
        <v>364</v>
      </c>
      <c r="E36" s="12">
        <v>364</v>
      </c>
      <c r="F36" s="12"/>
      <c r="G36" s="12"/>
      <c r="H36" s="12" t="s">
        <v>10</v>
      </c>
      <c r="I36" s="14"/>
    </row>
    <row r="37" spans="1:9">
      <c r="A37" s="8">
        <v>45903</v>
      </c>
      <c r="B37" s="12">
        <v>1625</v>
      </c>
      <c r="C37" s="13" t="s">
        <v>90</v>
      </c>
      <c r="D37" s="12">
        <v>388</v>
      </c>
      <c r="E37" s="12">
        <v>388</v>
      </c>
      <c r="F37" s="12"/>
      <c r="G37" s="12"/>
      <c r="H37" s="12" t="s">
        <v>10</v>
      </c>
      <c r="I37" s="14"/>
    </row>
    <row r="38" spans="1:9">
      <c r="A38" s="8">
        <v>45904</v>
      </c>
      <c r="B38" s="12">
        <v>9845</v>
      </c>
      <c r="C38" s="13" t="s">
        <v>80</v>
      </c>
      <c r="D38" s="12">
        <v>580</v>
      </c>
      <c r="E38" s="12">
        <v>580</v>
      </c>
      <c r="F38" s="12"/>
      <c r="G38" s="12"/>
      <c r="H38" s="12" t="s">
        <v>10</v>
      </c>
      <c r="I38" s="14">
        <f>SUM(E38:E48)</f>
        <v>4005</v>
      </c>
    </row>
    <row r="39" spans="1:9">
      <c r="A39" s="8">
        <v>45904</v>
      </c>
      <c r="B39" s="12">
        <v>9632</v>
      </c>
      <c r="C39" s="13" t="s">
        <v>75</v>
      </c>
      <c r="D39" s="12">
        <v>400</v>
      </c>
      <c r="E39" s="12">
        <v>400</v>
      </c>
      <c r="F39" s="12"/>
      <c r="G39" s="12"/>
      <c r="H39" s="12" t="s">
        <v>10</v>
      </c>
      <c r="I39" s="14"/>
    </row>
    <row r="40" spans="1:9">
      <c r="A40" s="8">
        <v>45904</v>
      </c>
      <c r="B40" s="12">
        <v>1632</v>
      </c>
      <c r="C40" s="13" t="s">
        <v>78</v>
      </c>
      <c r="D40" s="12">
        <v>602</v>
      </c>
      <c r="E40" s="12">
        <v>602</v>
      </c>
      <c r="F40" s="12"/>
      <c r="G40" s="12"/>
      <c r="H40" s="12" t="s">
        <v>10</v>
      </c>
      <c r="I40" s="14"/>
    </row>
    <row r="41" spans="1:9">
      <c r="A41" s="8">
        <v>45904</v>
      </c>
      <c r="B41" s="12">
        <v>1908</v>
      </c>
      <c r="C41" s="13" t="s">
        <v>77</v>
      </c>
      <c r="D41" s="12">
        <v>298</v>
      </c>
      <c r="E41" s="12">
        <v>298</v>
      </c>
      <c r="F41" s="12"/>
      <c r="G41" s="12"/>
      <c r="H41" s="12" t="s">
        <v>10</v>
      </c>
      <c r="I41" s="14"/>
    </row>
    <row r="42" spans="1:9">
      <c r="A42" s="8">
        <v>45904</v>
      </c>
      <c r="B42" s="12">
        <v>1845</v>
      </c>
      <c r="C42" s="13" t="s">
        <v>85</v>
      </c>
      <c r="D42" s="12">
        <v>632</v>
      </c>
      <c r="E42" s="12">
        <v>632</v>
      </c>
      <c r="F42" s="12"/>
      <c r="G42" s="12"/>
      <c r="H42" s="12" t="s">
        <v>10</v>
      </c>
      <c r="I42" s="14"/>
    </row>
    <row r="43" spans="1:9">
      <c r="A43" s="8">
        <v>45904</v>
      </c>
      <c r="B43" s="12">
        <v>1909</v>
      </c>
      <c r="C43" s="13" t="s">
        <v>83</v>
      </c>
      <c r="D43" s="12">
        <v>570</v>
      </c>
      <c r="E43" s="12">
        <v>570</v>
      </c>
      <c r="F43" s="12"/>
      <c r="G43" s="12"/>
      <c r="H43" s="12" t="s">
        <v>10</v>
      </c>
      <c r="I43" s="14"/>
    </row>
    <row r="44" spans="1:9">
      <c r="A44" s="8">
        <v>45904</v>
      </c>
      <c r="B44" s="12">
        <v>1650</v>
      </c>
      <c r="C44" s="13" t="s">
        <v>84</v>
      </c>
      <c r="D44" s="12">
        <v>233</v>
      </c>
      <c r="E44" s="12">
        <v>233</v>
      </c>
      <c r="F44" s="12"/>
      <c r="G44" s="12"/>
      <c r="H44" s="12" t="s">
        <v>10</v>
      </c>
      <c r="I44" s="14"/>
    </row>
    <row r="45" spans="1:9">
      <c r="A45" s="8">
        <v>45904</v>
      </c>
      <c r="B45" s="12">
        <v>1653</v>
      </c>
      <c r="C45" s="13" t="s">
        <v>95</v>
      </c>
      <c r="D45" s="12">
        <v>306</v>
      </c>
      <c r="E45" s="12">
        <v>306</v>
      </c>
      <c r="F45" s="12"/>
      <c r="G45" s="12"/>
      <c r="H45" s="12" t="s">
        <v>10</v>
      </c>
      <c r="I45" s="14"/>
    </row>
    <row r="46" spans="1:9">
      <c r="A46" s="8">
        <v>45904</v>
      </c>
      <c r="B46" s="12">
        <v>1639</v>
      </c>
      <c r="C46" s="13" t="s">
        <v>88</v>
      </c>
      <c r="D46" s="12">
        <v>378</v>
      </c>
      <c r="E46" s="12">
        <v>378</v>
      </c>
      <c r="F46" s="12"/>
      <c r="G46" s="12"/>
      <c r="H46" s="12" t="s">
        <v>10</v>
      </c>
      <c r="I46" s="14"/>
    </row>
    <row r="47" spans="1:9">
      <c r="A47" s="8">
        <v>45904</v>
      </c>
      <c r="B47" s="12">
        <v>1652</v>
      </c>
      <c r="C47" s="13" t="s">
        <v>104</v>
      </c>
      <c r="D47" s="12">
        <v>3</v>
      </c>
      <c r="E47" s="12">
        <v>3</v>
      </c>
      <c r="F47" s="12"/>
      <c r="G47" s="12"/>
      <c r="H47" s="12" t="s">
        <v>10</v>
      </c>
      <c r="I47" s="14"/>
    </row>
    <row r="48" spans="1:9">
      <c r="A48" s="8">
        <v>45904</v>
      </c>
      <c r="B48" s="12">
        <v>1651</v>
      </c>
      <c r="C48" s="13" t="s">
        <v>103</v>
      </c>
      <c r="D48" s="12">
        <v>3</v>
      </c>
      <c r="E48" s="12">
        <v>3</v>
      </c>
      <c r="F48" s="12"/>
      <c r="G48" s="12"/>
      <c r="H48" s="12" t="s">
        <v>10</v>
      </c>
      <c r="I48" s="14"/>
    </row>
    <row r="49" spans="1:9">
      <c r="A49" s="8">
        <v>45905</v>
      </c>
      <c r="B49" s="12">
        <v>9845</v>
      </c>
      <c r="C49" s="13" t="s">
        <v>80</v>
      </c>
      <c r="D49" s="12">
        <v>644</v>
      </c>
      <c r="E49" s="12">
        <v>644</v>
      </c>
      <c r="F49" s="12"/>
      <c r="G49" s="12"/>
      <c r="H49" s="12" t="s">
        <v>10</v>
      </c>
      <c r="I49" s="14">
        <f>SUM(E49:E60)</f>
        <v>2222</v>
      </c>
    </row>
    <row r="50" spans="1:9">
      <c r="A50" s="8">
        <v>45905</v>
      </c>
      <c r="B50" s="12">
        <v>9632</v>
      </c>
      <c r="C50" s="13" t="s">
        <v>75</v>
      </c>
      <c r="D50" s="12">
        <v>564</v>
      </c>
      <c r="E50" s="12">
        <v>564</v>
      </c>
      <c r="F50" s="12"/>
      <c r="G50" s="12"/>
      <c r="H50" s="12" t="s">
        <v>10</v>
      </c>
      <c r="I50" s="14"/>
    </row>
    <row r="51" spans="1:9">
      <c r="A51" s="8">
        <v>45905</v>
      </c>
      <c r="B51" s="12">
        <v>9839</v>
      </c>
      <c r="C51" s="13" t="s">
        <v>93</v>
      </c>
      <c r="D51" s="12">
        <v>644</v>
      </c>
      <c r="E51" s="12">
        <v>644</v>
      </c>
      <c r="F51" s="12"/>
      <c r="G51" s="12"/>
      <c r="H51" s="12" t="s">
        <v>10</v>
      </c>
      <c r="I51" s="14"/>
    </row>
    <row r="52" spans="1:9">
      <c r="A52" s="8">
        <v>45905</v>
      </c>
      <c r="B52" s="12">
        <v>9625</v>
      </c>
      <c r="C52" s="13" t="s">
        <v>81</v>
      </c>
      <c r="D52" s="12">
        <v>180</v>
      </c>
      <c r="E52" s="12">
        <v>180</v>
      </c>
      <c r="F52" s="12"/>
      <c r="G52" s="12"/>
      <c r="H52" s="12" t="s">
        <v>10</v>
      </c>
      <c r="I52" s="14"/>
    </row>
    <row r="53" spans="1:9">
      <c r="A53" s="8">
        <v>45905</v>
      </c>
      <c r="B53" s="12">
        <v>9623</v>
      </c>
      <c r="C53" s="13" t="s">
        <v>87</v>
      </c>
      <c r="D53" s="12">
        <v>30</v>
      </c>
      <c r="E53" s="12">
        <v>30</v>
      </c>
      <c r="F53" s="12"/>
      <c r="G53" s="12"/>
      <c r="H53" s="12" t="s">
        <v>10</v>
      </c>
      <c r="I53" s="14"/>
    </row>
    <row r="54" spans="1:9">
      <c r="A54" s="8">
        <v>45905</v>
      </c>
      <c r="B54" s="12">
        <v>1653</v>
      </c>
      <c r="C54" s="13" t="s">
        <v>95</v>
      </c>
      <c r="D54" s="12">
        <v>16</v>
      </c>
      <c r="E54" s="12">
        <v>16</v>
      </c>
      <c r="F54" s="12"/>
      <c r="G54" s="12"/>
      <c r="H54" s="12" t="s">
        <v>10</v>
      </c>
      <c r="I54" s="14"/>
    </row>
    <row r="55" spans="1:9">
      <c r="A55" s="8">
        <v>45905</v>
      </c>
      <c r="B55" s="12">
        <v>1656</v>
      </c>
      <c r="C55" s="13" t="s">
        <v>91</v>
      </c>
      <c r="D55" s="12">
        <v>7</v>
      </c>
      <c r="E55" s="12">
        <v>7</v>
      </c>
      <c r="F55" s="12"/>
      <c r="G55" s="12"/>
      <c r="H55" s="12" t="s">
        <v>10</v>
      </c>
      <c r="I55" s="14"/>
    </row>
    <row r="56" spans="1:9">
      <c r="A56" s="8">
        <v>45905</v>
      </c>
      <c r="B56" s="12">
        <v>1650</v>
      </c>
      <c r="C56" s="13" t="s">
        <v>84</v>
      </c>
      <c r="D56" s="12">
        <v>36</v>
      </c>
      <c r="E56" s="12">
        <v>36</v>
      </c>
      <c r="F56" s="12"/>
      <c r="G56" s="12"/>
      <c r="H56" s="12" t="s">
        <v>10</v>
      </c>
      <c r="I56" s="14"/>
    </row>
    <row r="57" spans="1:9">
      <c r="A57" s="8">
        <v>45905</v>
      </c>
      <c r="B57" s="12">
        <v>1625</v>
      </c>
      <c r="C57" s="13" t="s">
        <v>90</v>
      </c>
      <c r="D57" s="12">
        <v>33</v>
      </c>
      <c r="E57" s="12">
        <v>33</v>
      </c>
      <c r="F57" s="12"/>
      <c r="G57" s="12"/>
      <c r="H57" s="12" t="s">
        <v>10</v>
      </c>
      <c r="I57" s="14"/>
    </row>
    <row r="58" spans="1:9">
      <c r="A58" s="8">
        <v>45905</v>
      </c>
      <c r="B58" s="12">
        <v>1632</v>
      </c>
      <c r="C58" s="13" t="s">
        <v>78</v>
      </c>
      <c r="D58" s="12">
        <v>33</v>
      </c>
      <c r="E58" s="12">
        <v>33</v>
      </c>
      <c r="F58" s="12"/>
      <c r="G58" s="12"/>
      <c r="H58" s="12" t="s">
        <v>10</v>
      </c>
      <c r="I58" s="14"/>
    </row>
    <row r="59" spans="1:9">
      <c r="A59" s="8">
        <v>45905</v>
      </c>
      <c r="B59" s="12">
        <v>1845</v>
      </c>
      <c r="C59" s="13" t="s">
        <v>85</v>
      </c>
      <c r="D59" s="12">
        <v>33</v>
      </c>
      <c r="E59" s="12">
        <v>33</v>
      </c>
      <c r="F59" s="12"/>
      <c r="G59" s="12"/>
      <c r="H59" s="12" t="s">
        <v>10</v>
      </c>
      <c r="I59" s="14"/>
    </row>
    <row r="60" spans="1:9">
      <c r="A60" s="8">
        <v>45905</v>
      </c>
      <c r="B60" s="12">
        <v>1639</v>
      </c>
      <c r="C60" s="13" t="s">
        <v>88</v>
      </c>
      <c r="D60" s="12">
        <v>2</v>
      </c>
      <c r="E60" s="12">
        <v>2</v>
      </c>
      <c r="F60" s="12"/>
      <c r="G60" s="12"/>
      <c r="H60" s="12" t="s">
        <v>10</v>
      </c>
      <c r="I60" s="14"/>
    </row>
    <row r="61" spans="1:9">
      <c r="A61" s="8">
        <v>45906</v>
      </c>
      <c r="B61" s="12">
        <v>9632</v>
      </c>
      <c r="C61" s="13" t="s">
        <v>75</v>
      </c>
      <c r="D61" s="12">
        <v>316</v>
      </c>
      <c r="E61" s="12">
        <v>316</v>
      </c>
      <c r="F61" s="12"/>
      <c r="G61" s="12"/>
      <c r="H61" s="12" t="s">
        <v>10</v>
      </c>
      <c r="I61" s="14">
        <f>SUM(E61:E71)</f>
        <v>3404</v>
      </c>
    </row>
    <row r="62" spans="1:9">
      <c r="A62" s="8">
        <v>45906</v>
      </c>
      <c r="B62" s="12">
        <v>9839</v>
      </c>
      <c r="C62" s="13" t="s">
        <v>93</v>
      </c>
      <c r="D62" s="12">
        <v>268</v>
      </c>
      <c r="E62" s="12">
        <v>268</v>
      </c>
      <c r="F62" s="12"/>
      <c r="G62" s="12"/>
      <c r="H62" s="12" t="s">
        <v>10</v>
      </c>
      <c r="I62" s="14"/>
    </row>
    <row r="63" spans="1:9">
      <c r="A63" s="8">
        <v>45906</v>
      </c>
      <c r="B63" s="12">
        <v>1845</v>
      </c>
      <c r="C63" s="13" t="s">
        <v>85</v>
      </c>
      <c r="D63" s="12">
        <v>405</v>
      </c>
      <c r="E63" s="12">
        <v>405</v>
      </c>
      <c r="F63" s="12"/>
      <c r="G63" s="12"/>
      <c r="H63" s="12" t="s">
        <v>10</v>
      </c>
      <c r="I63" s="14"/>
    </row>
    <row r="64" spans="1:9">
      <c r="A64" s="8">
        <v>45906</v>
      </c>
      <c r="B64" s="12">
        <v>1908</v>
      </c>
      <c r="C64" s="13" t="s">
        <v>77</v>
      </c>
      <c r="D64" s="12">
        <v>327</v>
      </c>
      <c r="E64" s="12">
        <v>327</v>
      </c>
      <c r="F64" s="12"/>
      <c r="G64" s="12"/>
      <c r="H64" s="12" t="s">
        <v>10</v>
      </c>
      <c r="I64" s="14"/>
    </row>
    <row r="65" spans="1:9">
      <c r="A65" s="8">
        <v>45906</v>
      </c>
      <c r="B65" s="12">
        <v>1909</v>
      </c>
      <c r="C65" s="13" t="s">
        <v>83</v>
      </c>
      <c r="D65" s="12">
        <v>483</v>
      </c>
      <c r="E65" s="12">
        <v>483</v>
      </c>
      <c r="F65" s="12"/>
      <c r="G65" s="12"/>
      <c r="H65" s="12" t="s">
        <v>10</v>
      </c>
      <c r="I65" s="14"/>
    </row>
    <row r="66" spans="1:9">
      <c r="A66" s="8">
        <v>45906</v>
      </c>
      <c r="B66" s="12">
        <v>650</v>
      </c>
      <c r="C66" s="13" t="s">
        <v>92</v>
      </c>
      <c r="D66" s="12">
        <v>96</v>
      </c>
      <c r="E66" s="12">
        <v>96</v>
      </c>
      <c r="F66" s="12"/>
      <c r="G66" s="12"/>
      <c r="H66" s="12" t="s">
        <v>10</v>
      </c>
      <c r="I66" s="14"/>
    </row>
    <row r="67" spans="1:9">
      <c r="A67" s="8">
        <v>45906</v>
      </c>
      <c r="B67" s="12">
        <v>9909</v>
      </c>
      <c r="C67" s="13" t="s">
        <v>86</v>
      </c>
      <c r="D67" s="12">
        <v>237</v>
      </c>
      <c r="E67" s="12">
        <v>237</v>
      </c>
      <c r="F67" s="12"/>
      <c r="G67" s="12"/>
      <c r="H67" s="12" t="s">
        <v>10</v>
      </c>
      <c r="I67" s="14"/>
    </row>
    <row r="68" spans="1:9">
      <c r="A68" s="8">
        <v>45906</v>
      </c>
      <c r="B68" s="12">
        <v>9908</v>
      </c>
      <c r="C68" s="13" t="s">
        <v>89</v>
      </c>
      <c r="D68" s="12">
        <v>165</v>
      </c>
      <c r="E68" s="12">
        <v>165</v>
      </c>
      <c r="F68" s="12"/>
      <c r="G68" s="12"/>
      <c r="H68" s="12" t="s">
        <v>10</v>
      </c>
      <c r="I68" s="14"/>
    </row>
    <row r="69" spans="1:9">
      <c r="A69" s="8">
        <v>45906</v>
      </c>
      <c r="B69" s="12">
        <v>639</v>
      </c>
      <c r="C69" s="13" t="s">
        <v>102</v>
      </c>
      <c r="D69" s="12">
        <v>159</v>
      </c>
      <c r="E69" s="12">
        <v>159</v>
      </c>
      <c r="F69" s="12"/>
      <c r="G69" s="12"/>
      <c r="H69" s="12" t="s">
        <v>10</v>
      </c>
      <c r="I69" s="14"/>
    </row>
    <row r="70" spans="1:9">
      <c r="A70" s="8">
        <v>45906</v>
      </c>
      <c r="B70" s="12">
        <v>1656</v>
      </c>
      <c r="C70" s="13" t="s">
        <v>91</v>
      </c>
      <c r="D70" s="12">
        <v>508</v>
      </c>
      <c r="E70" s="12">
        <v>508</v>
      </c>
      <c r="F70" s="12"/>
      <c r="G70" s="12"/>
      <c r="H70" s="12" t="s">
        <v>10</v>
      </c>
      <c r="I70" s="14"/>
    </row>
    <row r="71" spans="1:9">
      <c r="A71" s="8">
        <v>45906</v>
      </c>
      <c r="B71" s="12">
        <v>1639</v>
      </c>
      <c r="C71" s="13" t="s">
        <v>88</v>
      </c>
      <c r="D71" s="12">
        <v>440</v>
      </c>
      <c r="E71" s="12">
        <v>440</v>
      </c>
      <c r="F71" s="12"/>
      <c r="G71" s="12"/>
      <c r="H71" s="12" t="s">
        <v>10</v>
      </c>
      <c r="I71" s="14"/>
    </row>
    <row r="72" spans="1:9">
      <c r="A72" s="8">
        <v>45907</v>
      </c>
      <c r="B72" s="12">
        <v>1639</v>
      </c>
      <c r="C72" s="13" t="s">
        <v>88</v>
      </c>
      <c r="D72" s="12">
        <v>508</v>
      </c>
      <c r="E72" s="12">
        <v>508</v>
      </c>
      <c r="F72" s="12"/>
      <c r="G72" s="12"/>
      <c r="H72" s="12" t="s">
        <v>10</v>
      </c>
      <c r="I72" s="14">
        <f>SUM(E72:E84)</f>
        <v>5368</v>
      </c>
    </row>
    <row r="73" spans="1:9">
      <c r="A73" s="8">
        <v>45907</v>
      </c>
      <c r="B73" s="12">
        <v>9839</v>
      </c>
      <c r="C73" s="13" t="s">
        <v>93</v>
      </c>
      <c r="D73" s="12">
        <v>110</v>
      </c>
      <c r="E73" s="12">
        <v>110</v>
      </c>
      <c r="F73" s="12"/>
      <c r="G73" s="12"/>
      <c r="H73" s="12" t="s">
        <v>10</v>
      </c>
      <c r="I73" s="14"/>
    </row>
    <row r="74" spans="1:9">
      <c r="A74" s="8">
        <v>45907</v>
      </c>
      <c r="B74" s="12">
        <v>1845</v>
      </c>
      <c r="C74" s="13" t="s">
        <v>85</v>
      </c>
      <c r="D74" s="12">
        <v>688</v>
      </c>
      <c r="E74" s="12">
        <v>688</v>
      </c>
      <c r="F74" s="12"/>
      <c r="G74" s="12"/>
      <c r="H74" s="12" t="s">
        <v>10</v>
      </c>
      <c r="I74" s="14"/>
    </row>
    <row r="75" spans="1:9">
      <c r="A75" s="8">
        <v>45907</v>
      </c>
      <c r="B75" s="12">
        <v>1909</v>
      </c>
      <c r="C75" s="13" t="s">
        <v>83</v>
      </c>
      <c r="D75" s="28">
        <v>716</v>
      </c>
      <c r="E75" s="28">
        <v>716</v>
      </c>
      <c r="F75" s="12"/>
      <c r="G75" s="12"/>
      <c r="H75" s="12" t="s">
        <v>10</v>
      </c>
      <c r="I75" s="14"/>
    </row>
    <row r="76" spans="1:9">
      <c r="A76" s="8">
        <v>45907</v>
      </c>
      <c r="B76" s="12">
        <v>1908</v>
      </c>
      <c r="C76" s="13" t="s">
        <v>77</v>
      </c>
      <c r="D76" s="12">
        <v>537</v>
      </c>
      <c r="E76" s="12">
        <v>537</v>
      </c>
      <c r="F76" s="12"/>
      <c r="G76" s="12"/>
      <c r="H76" s="12" t="s">
        <v>10</v>
      </c>
      <c r="I76" s="14"/>
    </row>
    <row r="77" spans="1:9">
      <c r="A77" s="8">
        <v>45907</v>
      </c>
      <c r="B77" s="12">
        <v>1632</v>
      </c>
      <c r="C77" s="13" t="s">
        <v>78</v>
      </c>
      <c r="D77" s="12">
        <v>400</v>
      </c>
      <c r="E77" s="12">
        <v>400</v>
      </c>
      <c r="F77" s="12"/>
      <c r="G77" s="12"/>
      <c r="H77" s="12" t="s">
        <v>10</v>
      </c>
      <c r="I77" s="14"/>
    </row>
    <row r="78" spans="1:9">
      <c r="A78" s="8">
        <v>45907</v>
      </c>
      <c r="B78" s="12">
        <v>1650</v>
      </c>
      <c r="C78" s="13" t="s">
        <v>84</v>
      </c>
      <c r="D78" s="12">
        <v>369</v>
      </c>
      <c r="E78" s="12">
        <v>369</v>
      </c>
      <c r="F78" s="12"/>
      <c r="G78" s="12"/>
      <c r="H78" s="12" t="s">
        <v>10</v>
      </c>
      <c r="I78" s="14"/>
    </row>
    <row r="79" spans="1:9">
      <c r="A79" s="8">
        <v>45907</v>
      </c>
      <c r="B79" s="12">
        <v>1625</v>
      </c>
      <c r="C79" s="13" t="s">
        <v>90</v>
      </c>
      <c r="D79" s="12">
        <v>333</v>
      </c>
      <c r="E79" s="12">
        <v>333</v>
      </c>
      <c r="F79" s="12"/>
      <c r="G79" s="12"/>
      <c r="H79" s="12" t="s">
        <v>10</v>
      </c>
      <c r="I79" s="14"/>
    </row>
    <row r="80" spans="1:9">
      <c r="A80" s="8">
        <v>45907</v>
      </c>
      <c r="B80" s="12">
        <v>9909</v>
      </c>
      <c r="C80" s="13" t="s">
        <v>86</v>
      </c>
      <c r="D80" s="12">
        <v>471</v>
      </c>
      <c r="E80" s="12">
        <v>471</v>
      </c>
      <c r="F80" s="12"/>
      <c r="G80" s="12"/>
      <c r="H80" s="12" t="s">
        <v>10</v>
      </c>
      <c r="I80" s="14"/>
    </row>
    <row r="81" spans="1:9">
      <c r="A81" s="8">
        <v>45907</v>
      </c>
      <c r="B81" s="12">
        <v>9908</v>
      </c>
      <c r="C81" s="13" t="s">
        <v>89</v>
      </c>
      <c r="D81" s="12">
        <v>216</v>
      </c>
      <c r="E81" s="12">
        <v>216</v>
      </c>
      <c r="F81" s="12"/>
      <c r="G81" s="12"/>
      <c r="H81" s="12" t="s">
        <v>10</v>
      </c>
      <c r="I81" s="14"/>
    </row>
    <row r="82" spans="1:9">
      <c r="A82" s="8">
        <v>45907</v>
      </c>
      <c r="B82" s="12">
        <v>1639</v>
      </c>
      <c r="C82" s="13" t="s">
        <v>88</v>
      </c>
      <c r="D82" s="12">
        <v>252</v>
      </c>
      <c r="E82" s="12">
        <v>252</v>
      </c>
      <c r="F82" s="12"/>
      <c r="G82" s="12"/>
      <c r="H82" s="12" t="s">
        <v>10</v>
      </c>
      <c r="I82" s="14"/>
    </row>
    <row r="83" spans="1:9">
      <c r="A83" s="8">
        <v>45907</v>
      </c>
      <c r="B83" s="12">
        <v>1845</v>
      </c>
      <c r="C83" s="13" t="s">
        <v>85</v>
      </c>
      <c r="D83" s="12">
        <v>264</v>
      </c>
      <c r="E83" s="12">
        <v>264</v>
      </c>
      <c r="F83" s="12"/>
      <c r="G83" s="12"/>
      <c r="H83" s="12" t="s">
        <v>10</v>
      </c>
      <c r="I83" s="14"/>
    </row>
    <row r="84" spans="1:9">
      <c r="A84" s="8">
        <v>45907</v>
      </c>
      <c r="B84" s="12">
        <v>1909</v>
      </c>
      <c r="C84" s="13" t="s">
        <v>83</v>
      </c>
      <c r="D84" s="12">
        <v>504</v>
      </c>
      <c r="E84" s="12">
        <v>504</v>
      </c>
      <c r="F84" s="12"/>
      <c r="G84" s="12"/>
      <c r="H84" s="12" t="s">
        <v>10</v>
      </c>
      <c r="I84" s="14"/>
    </row>
    <row r="85" spans="1:9">
      <c r="A85" s="8">
        <v>45908</v>
      </c>
      <c r="B85" s="12">
        <v>1632</v>
      </c>
      <c r="C85" s="13" t="s">
        <v>78</v>
      </c>
      <c r="D85" s="12">
        <v>412</v>
      </c>
      <c r="E85" s="12">
        <v>412</v>
      </c>
      <c r="F85" s="12"/>
      <c r="G85" s="12"/>
      <c r="H85" s="12" t="s">
        <v>10</v>
      </c>
      <c r="I85" s="14">
        <f>SUM(E85:E93)</f>
        <v>4441</v>
      </c>
    </row>
    <row r="86" spans="1:9">
      <c r="A86" s="8">
        <v>45908</v>
      </c>
      <c r="B86" s="12">
        <v>1625</v>
      </c>
      <c r="C86" s="13" t="s">
        <v>90</v>
      </c>
      <c r="D86" s="12">
        <v>237</v>
      </c>
      <c r="E86" s="12">
        <v>237</v>
      </c>
      <c r="F86" s="12"/>
      <c r="G86" s="12"/>
      <c r="H86" s="12" t="s">
        <v>10</v>
      </c>
      <c r="I86" s="14"/>
    </row>
    <row r="87" spans="1:9">
      <c r="A87" s="8">
        <v>45908</v>
      </c>
      <c r="B87" s="12">
        <v>9623</v>
      </c>
      <c r="C87" s="13" t="s">
        <v>87</v>
      </c>
      <c r="D87" s="12">
        <v>60</v>
      </c>
      <c r="E87" s="12">
        <v>60</v>
      </c>
      <c r="F87" s="12"/>
      <c r="G87" s="12"/>
      <c r="H87" s="12" t="s">
        <v>10</v>
      </c>
      <c r="I87" s="14"/>
    </row>
    <row r="88" spans="1:9">
      <c r="A88" s="8">
        <v>45908</v>
      </c>
      <c r="B88" s="12">
        <v>1909</v>
      </c>
      <c r="C88" s="13" t="s">
        <v>83</v>
      </c>
      <c r="D88" s="12">
        <v>621</v>
      </c>
      <c r="E88" s="12">
        <v>621</v>
      </c>
      <c r="F88" s="12"/>
      <c r="G88" s="12"/>
      <c r="H88" s="12" t="s">
        <v>10</v>
      </c>
      <c r="I88" s="14"/>
    </row>
    <row r="89" spans="1:9">
      <c r="A89" s="8">
        <v>45908</v>
      </c>
      <c r="B89" s="12">
        <v>1908</v>
      </c>
      <c r="C89" s="13" t="s">
        <v>77</v>
      </c>
      <c r="D89" s="12">
        <v>297</v>
      </c>
      <c r="E89" s="12">
        <v>297</v>
      </c>
      <c r="F89" s="12"/>
      <c r="G89" s="12"/>
      <c r="H89" s="12" t="s">
        <v>10</v>
      </c>
      <c r="I89" s="14"/>
    </row>
    <row r="90" spans="1:9">
      <c r="A90" s="8">
        <v>45908</v>
      </c>
      <c r="B90" s="12">
        <v>1845</v>
      </c>
      <c r="C90" s="13" t="s">
        <v>85</v>
      </c>
      <c r="D90" s="12">
        <v>400</v>
      </c>
      <c r="E90" s="12">
        <v>400</v>
      </c>
      <c r="F90" s="12"/>
      <c r="G90" s="12"/>
      <c r="H90" s="12" t="s">
        <v>10</v>
      </c>
      <c r="I90" s="14"/>
    </row>
    <row r="91" spans="1:9">
      <c r="A91" s="8">
        <v>45908</v>
      </c>
      <c r="B91" s="12">
        <v>1639</v>
      </c>
      <c r="C91" s="13" t="s">
        <v>88</v>
      </c>
      <c r="D91" s="12">
        <v>1134</v>
      </c>
      <c r="E91" s="12">
        <v>1134</v>
      </c>
      <c r="F91" s="12"/>
      <c r="G91" s="12"/>
      <c r="H91" s="12" t="s">
        <v>10</v>
      </c>
      <c r="I91" s="14"/>
    </row>
    <row r="92" spans="1:9">
      <c r="A92" s="8">
        <v>45908</v>
      </c>
      <c r="B92" s="12">
        <v>1656</v>
      </c>
      <c r="C92" s="13" t="s">
        <v>91</v>
      </c>
      <c r="D92" s="12">
        <v>572</v>
      </c>
      <c r="E92" s="12">
        <v>572</v>
      </c>
      <c r="F92" s="12"/>
      <c r="G92" s="12"/>
      <c r="H92" s="12" t="s">
        <v>10</v>
      </c>
      <c r="I92" s="14"/>
    </row>
    <row r="93" spans="1:9">
      <c r="A93" s="8">
        <v>45908</v>
      </c>
      <c r="B93" s="12">
        <v>1909</v>
      </c>
      <c r="C93" s="13" t="s">
        <v>83</v>
      </c>
      <c r="D93" s="12">
        <v>708</v>
      </c>
      <c r="E93" s="12">
        <v>708</v>
      </c>
      <c r="F93" s="12"/>
      <c r="G93" s="12"/>
      <c r="H93" s="12" t="s">
        <v>10</v>
      </c>
      <c r="I93" s="14"/>
    </row>
    <row r="94" spans="1:9">
      <c r="A94" s="8">
        <v>45909</v>
      </c>
      <c r="B94" s="12">
        <v>1845</v>
      </c>
      <c r="C94" s="13" t="s">
        <v>85</v>
      </c>
      <c r="D94" s="12">
        <v>834</v>
      </c>
      <c r="E94" s="12">
        <v>834</v>
      </c>
      <c r="F94" s="12"/>
      <c r="G94" s="12"/>
      <c r="H94" s="12" t="s">
        <v>10</v>
      </c>
      <c r="I94" s="14">
        <f>SUM(E94:E104)</f>
        <v>4820</v>
      </c>
    </row>
    <row r="95" spans="1:9">
      <c r="A95" s="8">
        <v>45909</v>
      </c>
      <c r="B95" s="12">
        <v>9632</v>
      </c>
      <c r="C95" s="13" t="s">
        <v>75</v>
      </c>
      <c r="D95" s="12">
        <v>172</v>
      </c>
      <c r="E95" s="12">
        <v>172</v>
      </c>
      <c r="F95" s="12"/>
      <c r="G95" s="12"/>
      <c r="H95" s="12" t="s">
        <v>10</v>
      </c>
      <c r="I95" s="14"/>
    </row>
    <row r="96" spans="1:9">
      <c r="A96" s="8">
        <v>45909</v>
      </c>
      <c r="B96" s="12">
        <v>9845</v>
      </c>
      <c r="C96" s="13" t="s">
        <v>80</v>
      </c>
      <c r="D96" s="12">
        <v>165</v>
      </c>
      <c r="E96" s="12">
        <v>165</v>
      </c>
      <c r="F96" s="12"/>
      <c r="G96" s="12"/>
      <c r="H96" s="12" t="s">
        <v>10</v>
      </c>
      <c r="I96" s="14"/>
    </row>
    <row r="97" spans="1:9">
      <c r="A97" s="8">
        <v>45909</v>
      </c>
      <c r="B97" s="12">
        <v>1625</v>
      </c>
      <c r="C97" s="13" t="s">
        <v>90</v>
      </c>
      <c r="D97" s="12">
        <v>288</v>
      </c>
      <c r="E97" s="12">
        <v>288</v>
      </c>
      <c r="F97" s="12"/>
      <c r="G97" s="12"/>
      <c r="H97" s="12" t="s">
        <v>10</v>
      </c>
      <c r="I97" s="14"/>
    </row>
    <row r="98" spans="1:9">
      <c r="A98" s="8">
        <v>45909</v>
      </c>
      <c r="B98" s="12">
        <v>1656</v>
      </c>
      <c r="C98" s="13" t="s">
        <v>91</v>
      </c>
      <c r="D98" s="12">
        <v>636</v>
      </c>
      <c r="E98" s="12">
        <v>636</v>
      </c>
      <c r="F98" s="12"/>
      <c r="G98" s="12"/>
      <c r="H98" s="12" t="s">
        <v>10</v>
      </c>
      <c r="I98" s="14"/>
    </row>
    <row r="99" spans="1:9">
      <c r="A99" s="8">
        <v>45909</v>
      </c>
      <c r="B99" s="12">
        <v>1653</v>
      </c>
      <c r="C99" s="13" t="s">
        <v>95</v>
      </c>
      <c r="D99" s="12">
        <v>636</v>
      </c>
      <c r="E99" s="12">
        <v>636</v>
      </c>
      <c r="F99" s="12"/>
      <c r="G99" s="12"/>
      <c r="H99" s="12" t="s">
        <v>10</v>
      </c>
      <c r="I99" s="14"/>
    </row>
    <row r="100" spans="1:9">
      <c r="A100" s="8">
        <v>45909</v>
      </c>
      <c r="B100" s="12">
        <v>1632</v>
      </c>
      <c r="C100" s="13" t="s">
        <v>78</v>
      </c>
      <c r="D100" s="12">
        <v>340</v>
      </c>
      <c r="E100" s="12">
        <v>340</v>
      </c>
      <c r="F100" s="12"/>
      <c r="G100" s="12"/>
      <c r="H100" s="12" t="s">
        <v>10</v>
      </c>
      <c r="I100" s="14"/>
    </row>
    <row r="101" spans="1:9">
      <c r="A101" s="8">
        <v>45909</v>
      </c>
      <c r="B101" s="12">
        <v>1909</v>
      </c>
      <c r="C101" s="13" t="s">
        <v>83</v>
      </c>
      <c r="D101" s="12">
        <v>576</v>
      </c>
      <c r="E101" s="12">
        <v>576</v>
      </c>
      <c r="F101" s="12"/>
      <c r="G101" s="12"/>
      <c r="H101" s="12" t="s">
        <v>10</v>
      </c>
      <c r="I101" s="14"/>
    </row>
    <row r="102" spans="1:9">
      <c r="A102" s="8">
        <v>45909</v>
      </c>
      <c r="B102" s="12">
        <v>1639</v>
      </c>
      <c r="C102" s="13" t="s">
        <v>88</v>
      </c>
      <c r="D102" s="12">
        <v>692</v>
      </c>
      <c r="E102" s="12">
        <v>692</v>
      </c>
      <c r="F102" s="12"/>
      <c r="G102" s="12"/>
      <c r="H102" s="12" t="s">
        <v>10</v>
      </c>
      <c r="I102" s="14"/>
    </row>
    <row r="103" spans="1:9">
      <c r="A103" s="8">
        <v>45909</v>
      </c>
      <c r="B103" s="12">
        <v>1656</v>
      </c>
      <c r="C103" s="13" t="s">
        <v>91</v>
      </c>
      <c r="D103" s="12">
        <v>370</v>
      </c>
      <c r="E103" s="12">
        <v>370</v>
      </c>
      <c r="F103" s="12"/>
      <c r="G103" s="12"/>
      <c r="H103" s="12" t="s">
        <v>10</v>
      </c>
      <c r="I103" s="14"/>
    </row>
    <row r="104" spans="1:9">
      <c r="A104" s="8">
        <v>45909</v>
      </c>
      <c r="B104" s="12">
        <v>650</v>
      </c>
      <c r="C104" s="13" t="s">
        <v>92</v>
      </c>
      <c r="D104" s="12">
        <v>111</v>
      </c>
      <c r="E104" s="12">
        <v>111</v>
      </c>
      <c r="F104" s="12"/>
      <c r="G104" s="12"/>
      <c r="H104" s="12" t="s">
        <v>10</v>
      </c>
      <c r="I104" s="14"/>
    </row>
    <row r="105" spans="1:9">
      <c r="A105" s="8">
        <v>45910</v>
      </c>
      <c r="B105" s="12">
        <v>1656</v>
      </c>
      <c r="C105" s="13" t="s">
        <v>91</v>
      </c>
      <c r="D105" s="12">
        <v>552</v>
      </c>
      <c r="E105" s="12">
        <v>552</v>
      </c>
      <c r="F105" s="12"/>
      <c r="G105" s="12"/>
      <c r="H105" s="12" t="s">
        <v>10</v>
      </c>
      <c r="I105" s="14">
        <f>SUM(E105:E122)</f>
        <v>5685</v>
      </c>
    </row>
    <row r="106" spans="1:9">
      <c r="A106" s="8">
        <v>45910</v>
      </c>
      <c r="B106" s="12">
        <v>1653</v>
      </c>
      <c r="C106" s="13" t="s">
        <v>95</v>
      </c>
      <c r="D106" s="12">
        <v>276</v>
      </c>
      <c r="E106" s="12">
        <v>276</v>
      </c>
      <c r="F106" s="12"/>
      <c r="G106" s="12"/>
      <c r="H106" s="12" t="s">
        <v>10</v>
      </c>
      <c r="I106" s="14"/>
    </row>
    <row r="107" spans="1:9">
      <c r="A107" s="8">
        <v>45910</v>
      </c>
      <c r="B107" s="12">
        <v>9845</v>
      </c>
      <c r="C107" s="13" t="s">
        <v>80</v>
      </c>
      <c r="D107" s="12">
        <v>452</v>
      </c>
      <c r="E107" s="12">
        <v>452</v>
      </c>
      <c r="F107" s="12"/>
      <c r="G107" s="12"/>
      <c r="H107" s="12" t="s">
        <v>10</v>
      </c>
      <c r="I107" s="14"/>
    </row>
    <row r="108" spans="1:9">
      <c r="A108" s="8">
        <v>45910</v>
      </c>
      <c r="B108" s="12">
        <v>1627</v>
      </c>
      <c r="C108" s="13" t="s">
        <v>79</v>
      </c>
      <c r="D108" s="12">
        <v>174</v>
      </c>
      <c r="E108" s="12">
        <v>174</v>
      </c>
      <c r="F108" s="12"/>
      <c r="G108" s="12"/>
      <c r="H108" s="12" t="s">
        <v>10</v>
      </c>
      <c r="I108" s="14"/>
    </row>
    <row r="109" spans="1:9">
      <c r="A109" s="8">
        <v>45910</v>
      </c>
      <c r="B109" s="12">
        <v>639</v>
      </c>
      <c r="C109" s="13" t="s">
        <v>102</v>
      </c>
      <c r="D109" s="12">
        <v>93</v>
      </c>
      <c r="E109" s="12">
        <v>93</v>
      </c>
      <c r="F109" s="12"/>
      <c r="G109" s="12"/>
      <c r="H109" s="12" t="s">
        <v>10</v>
      </c>
      <c r="I109" s="14"/>
    </row>
    <row r="110" spans="1:9">
      <c r="A110" s="8">
        <v>45910</v>
      </c>
      <c r="B110" s="12">
        <v>9625</v>
      </c>
      <c r="C110" s="13" t="s">
        <v>81</v>
      </c>
      <c r="D110" s="12">
        <v>52</v>
      </c>
      <c r="E110" s="12">
        <v>52</v>
      </c>
      <c r="F110" s="12"/>
      <c r="G110" s="12"/>
      <c r="H110" s="12" t="s">
        <v>10</v>
      </c>
      <c r="I110" s="14"/>
    </row>
    <row r="111" spans="1:9">
      <c r="A111" s="8">
        <v>45910</v>
      </c>
      <c r="B111" s="12">
        <v>813</v>
      </c>
      <c r="C111" s="13" t="s">
        <v>49</v>
      </c>
      <c r="D111" s="12">
        <v>80</v>
      </c>
      <c r="E111" s="12">
        <v>80</v>
      </c>
      <c r="F111" s="12"/>
      <c r="G111" s="12"/>
      <c r="H111" s="12" t="s">
        <v>10</v>
      </c>
      <c r="I111" s="14"/>
    </row>
    <row r="112" spans="1:9">
      <c r="A112" s="8">
        <v>45910</v>
      </c>
      <c r="B112" s="12">
        <v>1639</v>
      </c>
      <c r="C112" s="13" t="s">
        <v>88</v>
      </c>
      <c r="D112" s="12">
        <v>416</v>
      </c>
      <c r="E112" s="12">
        <v>416</v>
      </c>
      <c r="F112" s="12"/>
      <c r="G112" s="12"/>
      <c r="H112" s="12" t="s">
        <v>10</v>
      </c>
      <c r="I112" s="14"/>
    </row>
    <row r="113" spans="1:9">
      <c r="A113" s="8">
        <v>45910</v>
      </c>
      <c r="B113" s="12">
        <v>1625</v>
      </c>
      <c r="C113" s="13" t="s">
        <v>90</v>
      </c>
      <c r="D113" s="12">
        <v>392</v>
      </c>
      <c r="E113" s="12">
        <v>392</v>
      </c>
      <c r="F113" s="12"/>
      <c r="G113" s="12"/>
      <c r="H113" s="12" t="s">
        <v>10</v>
      </c>
      <c r="I113" s="14"/>
    </row>
    <row r="114" spans="1:9">
      <c r="A114" s="8">
        <v>45910</v>
      </c>
      <c r="B114" s="12">
        <v>1909</v>
      </c>
      <c r="C114" s="13" t="s">
        <v>83</v>
      </c>
      <c r="D114" s="12">
        <v>656</v>
      </c>
      <c r="E114" s="12">
        <v>656</v>
      </c>
      <c r="F114" s="12"/>
      <c r="G114" s="12"/>
      <c r="H114" s="12" t="s">
        <v>10</v>
      </c>
      <c r="I114" s="14"/>
    </row>
    <row r="115" spans="1:9">
      <c r="A115" s="8">
        <v>45910</v>
      </c>
      <c r="B115" s="12">
        <v>1845</v>
      </c>
      <c r="C115" s="13" t="s">
        <v>85</v>
      </c>
      <c r="D115" s="12">
        <v>490</v>
      </c>
      <c r="E115" s="12">
        <v>490</v>
      </c>
      <c r="F115" s="12"/>
      <c r="G115" s="12"/>
      <c r="H115" s="12" t="s">
        <v>10</v>
      </c>
      <c r="I115" s="14"/>
    </row>
    <row r="116" spans="1:9">
      <c r="A116" s="8">
        <v>45910</v>
      </c>
      <c r="B116" s="12">
        <v>845</v>
      </c>
      <c r="C116" s="13" t="s">
        <v>24</v>
      </c>
      <c r="D116" s="12">
        <v>327</v>
      </c>
      <c r="E116" s="12">
        <v>327</v>
      </c>
      <c r="F116" s="12"/>
      <c r="G116" s="12"/>
      <c r="H116" s="12" t="s">
        <v>10</v>
      </c>
      <c r="I116" s="14"/>
    </row>
    <row r="117" spans="1:9">
      <c r="A117" s="8">
        <v>45910</v>
      </c>
      <c r="B117" s="12">
        <v>632</v>
      </c>
      <c r="C117" s="13" t="s">
        <v>29</v>
      </c>
      <c r="D117" s="12">
        <v>327</v>
      </c>
      <c r="E117" s="12">
        <v>327</v>
      </c>
      <c r="F117" s="12"/>
      <c r="G117" s="12"/>
      <c r="H117" s="12" t="s">
        <v>10</v>
      </c>
      <c r="I117" s="14"/>
    </row>
    <row r="118" spans="1:9">
      <c r="A118" s="8">
        <v>45910</v>
      </c>
      <c r="B118" s="12">
        <v>909</v>
      </c>
      <c r="C118" s="13" t="s">
        <v>11</v>
      </c>
      <c r="D118" s="12">
        <v>348</v>
      </c>
      <c r="E118" s="12">
        <v>348</v>
      </c>
      <c r="F118" s="12"/>
      <c r="G118" s="12"/>
      <c r="H118" s="12" t="s">
        <v>10</v>
      </c>
      <c r="I118" s="14"/>
    </row>
    <row r="119" spans="1:9">
      <c r="A119" s="8">
        <v>45910</v>
      </c>
      <c r="B119" s="12">
        <v>908</v>
      </c>
      <c r="C119" s="13" t="s">
        <v>23</v>
      </c>
      <c r="D119" s="12">
        <v>348</v>
      </c>
      <c r="E119" s="12">
        <v>348</v>
      </c>
      <c r="F119" s="12"/>
      <c r="G119" s="12"/>
      <c r="H119" s="12" t="s">
        <v>10</v>
      </c>
      <c r="I119" s="14"/>
    </row>
    <row r="120" spans="1:9">
      <c r="A120" s="8">
        <v>45910</v>
      </c>
      <c r="B120" s="12">
        <v>653</v>
      </c>
      <c r="C120" s="13" t="s">
        <v>74</v>
      </c>
      <c r="D120" s="12">
        <v>234</v>
      </c>
      <c r="E120" s="12">
        <v>234</v>
      </c>
      <c r="F120" s="12"/>
      <c r="G120" s="12"/>
      <c r="H120" s="12" t="s">
        <v>10</v>
      </c>
      <c r="I120" s="14"/>
    </row>
    <row r="121" spans="1:9">
      <c r="A121" s="8">
        <v>45910</v>
      </c>
      <c r="B121" s="12">
        <v>656</v>
      </c>
      <c r="C121" s="13" t="s">
        <v>73</v>
      </c>
      <c r="D121" s="12">
        <v>234</v>
      </c>
      <c r="E121" s="12">
        <v>234</v>
      </c>
      <c r="F121" s="12"/>
      <c r="G121" s="12"/>
      <c r="H121" s="12" t="s">
        <v>10</v>
      </c>
      <c r="I121" s="14"/>
    </row>
    <row r="122" spans="1:9">
      <c r="A122" s="8">
        <v>45910</v>
      </c>
      <c r="B122" s="12">
        <v>6639</v>
      </c>
      <c r="C122" s="13" t="s">
        <v>9</v>
      </c>
      <c r="D122" s="12">
        <v>234</v>
      </c>
      <c r="E122" s="12">
        <v>234</v>
      </c>
      <c r="F122" s="12"/>
      <c r="G122" s="12"/>
      <c r="H122" s="12" t="s">
        <v>10</v>
      </c>
      <c r="I122" s="14"/>
    </row>
    <row r="123" spans="1:9">
      <c r="A123" s="8">
        <v>45911</v>
      </c>
      <c r="B123" s="12">
        <v>9845</v>
      </c>
      <c r="C123" s="13" t="s">
        <v>80</v>
      </c>
      <c r="D123" s="12">
        <v>360</v>
      </c>
      <c r="E123" s="12">
        <v>360</v>
      </c>
      <c r="F123" s="12"/>
      <c r="G123" s="12"/>
      <c r="H123" s="12" t="s">
        <v>10</v>
      </c>
      <c r="I123" s="14">
        <f>SUM(E123:E134)</f>
        <v>2856</v>
      </c>
    </row>
    <row r="124" spans="1:9">
      <c r="A124" s="8">
        <v>45911</v>
      </c>
      <c r="B124" s="12">
        <v>9632</v>
      </c>
      <c r="C124" s="13" t="s">
        <v>75</v>
      </c>
      <c r="D124" s="12">
        <v>200</v>
      </c>
      <c r="E124" s="12">
        <v>200</v>
      </c>
      <c r="F124" s="12"/>
      <c r="G124" s="12"/>
      <c r="H124" s="12" t="s">
        <v>10</v>
      </c>
      <c r="I124" s="14"/>
    </row>
    <row r="125" spans="1:9">
      <c r="A125" s="8">
        <v>45911</v>
      </c>
      <c r="B125" s="12">
        <v>9909</v>
      </c>
      <c r="C125" s="13" t="s">
        <v>86</v>
      </c>
      <c r="D125" s="12">
        <v>99</v>
      </c>
      <c r="E125" s="12">
        <v>99</v>
      </c>
      <c r="F125" s="12"/>
      <c r="G125" s="12"/>
      <c r="H125" s="12" t="s">
        <v>10</v>
      </c>
      <c r="I125" s="14"/>
    </row>
    <row r="126" spans="1:9">
      <c r="A126" s="8">
        <v>45911</v>
      </c>
      <c r="B126" s="12">
        <v>9908</v>
      </c>
      <c r="C126" s="13" t="s">
        <v>89</v>
      </c>
      <c r="D126" s="12">
        <v>81</v>
      </c>
      <c r="E126" s="12">
        <v>81</v>
      </c>
      <c r="F126" s="12"/>
      <c r="G126" s="12"/>
      <c r="H126" s="12" t="s">
        <v>10</v>
      </c>
      <c r="I126" s="14"/>
    </row>
    <row r="127" spans="1:9">
      <c r="A127" s="8">
        <v>45911</v>
      </c>
      <c r="B127" s="12">
        <v>1908</v>
      </c>
      <c r="C127" s="13" t="s">
        <v>77</v>
      </c>
      <c r="D127" s="12">
        <v>412</v>
      </c>
      <c r="E127" s="12">
        <v>412</v>
      </c>
      <c r="F127" s="12"/>
      <c r="G127" s="12"/>
      <c r="H127" s="12" t="s">
        <v>10</v>
      </c>
      <c r="I127" s="14"/>
    </row>
    <row r="128" spans="1:9">
      <c r="A128" s="8">
        <v>45911</v>
      </c>
      <c r="B128" s="12">
        <v>1909</v>
      </c>
      <c r="C128" s="13" t="s">
        <v>83</v>
      </c>
      <c r="D128" s="12">
        <v>302</v>
      </c>
      <c r="E128" s="12">
        <v>302</v>
      </c>
      <c r="F128" s="12"/>
      <c r="G128" s="12"/>
      <c r="H128" s="12" t="s">
        <v>10</v>
      </c>
      <c r="I128" s="14"/>
    </row>
    <row r="129" spans="1:9">
      <c r="A129" s="8">
        <v>45911</v>
      </c>
      <c r="B129" s="12">
        <v>1639</v>
      </c>
      <c r="C129" s="13" t="s">
        <v>88</v>
      </c>
      <c r="D129" s="12">
        <v>20</v>
      </c>
      <c r="E129" s="12">
        <v>20</v>
      </c>
      <c r="F129" s="12"/>
      <c r="G129" s="12"/>
      <c r="H129" s="12" t="s">
        <v>10</v>
      </c>
      <c r="I129" s="14"/>
    </row>
    <row r="130" spans="1:9">
      <c r="A130" s="8">
        <v>45911</v>
      </c>
      <c r="B130" s="12">
        <v>1632</v>
      </c>
      <c r="C130" s="13" t="s">
        <v>78</v>
      </c>
      <c r="D130" s="12">
        <v>678</v>
      </c>
      <c r="E130" s="12">
        <v>678</v>
      </c>
      <c r="F130" s="12"/>
      <c r="G130" s="12"/>
      <c r="H130" s="12" t="s">
        <v>10</v>
      </c>
      <c r="I130" s="14"/>
    </row>
    <row r="131" spans="1:9">
      <c r="A131" s="8">
        <v>45911</v>
      </c>
      <c r="B131" s="12">
        <v>1627</v>
      </c>
      <c r="C131" s="13" t="s">
        <v>79</v>
      </c>
      <c r="D131" s="12">
        <v>260</v>
      </c>
      <c r="E131" s="12">
        <v>260</v>
      </c>
      <c r="F131" s="12"/>
      <c r="G131" s="12"/>
      <c r="H131" s="12" t="s">
        <v>10</v>
      </c>
      <c r="I131" s="14"/>
    </row>
    <row r="132" spans="1:9">
      <c r="A132" s="8">
        <v>45911</v>
      </c>
      <c r="B132" s="12">
        <v>9845</v>
      </c>
      <c r="C132" s="13" t="s">
        <v>80</v>
      </c>
      <c r="D132" s="12">
        <v>396</v>
      </c>
      <c r="E132" s="12">
        <v>396</v>
      </c>
      <c r="F132" s="12"/>
      <c r="G132" s="12"/>
      <c r="H132" s="12" t="s">
        <v>10</v>
      </c>
      <c r="I132" s="14"/>
    </row>
    <row r="133" spans="1:9">
      <c r="A133" s="8">
        <v>45911</v>
      </c>
      <c r="B133" s="12">
        <v>1653</v>
      </c>
      <c r="C133" s="13" t="s">
        <v>95</v>
      </c>
      <c r="D133" s="12">
        <v>34</v>
      </c>
      <c r="E133" s="12">
        <v>34</v>
      </c>
      <c r="F133" s="12"/>
      <c r="G133" s="12"/>
      <c r="H133" s="12" t="s">
        <v>10</v>
      </c>
      <c r="I133" s="14"/>
    </row>
    <row r="134" spans="1:9">
      <c r="A134" s="8">
        <v>45911</v>
      </c>
      <c r="B134" s="12">
        <v>1656</v>
      </c>
      <c r="C134" s="13" t="s">
        <v>91</v>
      </c>
      <c r="D134" s="12">
        <v>14</v>
      </c>
      <c r="E134" s="12">
        <v>14</v>
      </c>
      <c r="F134" s="12"/>
      <c r="G134" s="12"/>
      <c r="H134" s="12" t="s">
        <v>10</v>
      </c>
      <c r="I134" s="14"/>
    </row>
    <row r="135" spans="1:9">
      <c r="A135" s="8">
        <v>45912</v>
      </c>
      <c r="B135" s="12">
        <v>9845</v>
      </c>
      <c r="C135" s="13" t="s">
        <v>80</v>
      </c>
      <c r="D135" s="12">
        <v>732</v>
      </c>
      <c r="E135" s="12">
        <v>732</v>
      </c>
      <c r="F135" s="12"/>
      <c r="G135" s="12"/>
      <c r="H135" s="12" t="s">
        <v>10</v>
      </c>
      <c r="I135" s="14">
        <f>SUM(E135:E151)</f>
        <v>6606</v>
      </c>
    </row>
    <row r="136" spans="1:9">
      <c r="A136" s="8">
        <v>45912</v>
      </c>
      <c r="B136" s="12">
        <v>9632</v>
      </c>
      <c r="C136" s="13" t="s">
        <v>75</v>
      </c>
      <c r="D136" s="12">
        <v>552</v>
      </c>
      <c r="E136" s="12">
        <v>552</v>
      </c>
      <c r="F136" s="12"/>
      <c r="G136" s="12"/>
      <c r="H136" s="12" t="s">
        <v>10</v>
      </c>
      <c r="I136" s="14"/>
    </row>
    <row r="137" spans="1:9">
      <c r="A137" s="8">
        <v>45912</v>
      </c>
      <c r="B137" s="12">
        <v>9623</v>
      </c>
      <c r="C137" s="13" t="s">
        <v>87</v>
      </c>
      <c r="D137" s="12">
        <v>120</v>
      </c>
      <c r="E137" s="12">
        <v>120</v>
      </c>
      <c r="F137" s="12"/>
      <c r="G137" s="12"/>
      <c r="H137" s="12" t="s">
        <v>10</v>
      </c>
      <c r="I137" s="14"/>
    </row>
    <row r="138" spans="1:9">
      <c r="A138" s="8">
        <v>45912</v>
      </c>
      <c r="B138" s="12">
        <v>9909</v>
      </c>
      <c r="C138" s="13" t="s">
        <v>86</v>
      </c>
      <c r="D138" s="12">
        <v>468</v>
      </c>
      <c r="E138" s="12">
        <v>468</v>
      </c>
      <c r="F138" s="12"/>
      <c r="G138" s="12"/>
      <c r="H138" s="12" t="s">
        <v>10</v>
      </c>
      <c r="I138" s="14"/>
    </row>
    <row r="139" spans="1:9">
      <c r="A139" s="8">
        <v>45912</v>
      </c>
      <c r="B139" s="12">
        <v>9908</v>
      </c>
      <c r="C139" s="13" t="s">
        <v>89</v>
      </c>
      <c r="D139" s="12">
        <v>288</v>
      </c>
      <c r="E139" s="12">
        <v>288</v>
      </c>
      <c r="F139" s="12"/>
      <c r="G139" s="12"/>
      <c r="H139" s="12" t="s">
        <v>10</v>
      </c>
      <c r="I139" s="14"/>
    </row>
    <row r="140" spans="1:9">
      <c r="A140" s="8">
        <v>45912</v>
      </c>
      <c r="B140" s="12">
        <v>9839</v>
      </c>
      <c r="C140" s="13" t="s">
        <v>93</v>
      </c>
      <c r="D140" s="12">
        <v>456</v>
      </c>
      <c r="E140" s="12">
        <v>456</v>
      </c>
      <c r="F140" s="12"/>
      <c r="G140" s="12"/>
      <c r="H140" s="12" t="s">
        <v>10</v>
      </c>
      <c r="I140" s="14"/>
    </row>
    <row r="141" spans="1:9">
      <c r="A141" s="8">
        <v>45912</v>
      </c>
      <c r="B141" s="12">
        <v>9625</v>
      </c>
      <c r="C141" s="13" t="s">
        <v>81</v>
      </c>
      <c r="D141" s="12">
        <v>99</v>
      </c>
      <c r="E141" s="12">
        <v>99</v>
      </c>
      <c r="F141" s="12"/>
      <c r="G141" s="12"/>
      <c r="H141" s="12" t="s">
        <v>10</v>
      </c>
      <c r="I141" s="14"/>
    </row>
    <row r="142" spans="1:9">
      <c r="A142" s="8">
        <v>45912</v>
      </c>
      <c r="B142" s="12">
        <v>650</v>
      </c>
      <c r="C142" s="13" t="s">
        <v>92</v>
      </c>
      <c r="D142" s="12">
        <v>126</v>
      </c>
      <c r="E142" s="12">
        <v>126</v>
      </c>
      <c r="F142" s="12"/>
      <c r="G142" s="12"/>
      <c r="H142" s="12" t="s">
        <v>10</v>
      </c>
      <c r="I142" s="14"/>
    </row>
    <row r="143" spans="1:9">
      <c r="A143" s="8">
        <v>45912</v>
      </c>
      <c r="B143" s="12">
        <v>639</v>
      </c>
      <c r="C143" s="13" t="s">
        <v>102</v>
      </c>
      <c r="D143" s="12">
        <v>111</v>
      </c>
      <c r="E143" s="12">
        <v>111</v>
      </c>
      <c r="F143" s="12"/>
      <c r="G143" s="12"/>
      <c r="H143" s="12" t="s">
        <v>10</v>
      </c>
      <c r="I143" s="14"/>
    </row>
    <row r="144" spans="1:9">
      <c r="A144" s="8">
        <v>45912</v>
      </c>
      <c r="B144" s="12">
        <v>1625</v>
      </c>
      <c r="C144" s="13" t="s">
        <v>90</v>
      </c>
      <c r="D144" s="12">
        <v>520</v>
      </c>
      <c r="E144" s="12">
        <v>520</v>
      </c>
      <c r="F144" s="12"/>
      <c r="G144" s="12"/>
      <c r="H144" s="12" t="s">
        <v>10</v>
      </c>
      <c r="I144" s="14"/>
    </row>
    <row r="145" spans="1:9">
      <c r="A145" s="8">
        <v>45912</v>
      </c>
      <c r="B145" s="12">
        <v>1627</v>
      </c>
      <c r="C145" s="13" t="s">
        <v>79</v>
      </c>
      <c r="D145" s="12">
        <v>412</v>
      </c>
      <c r="E145" s="12">
        <v>412</v>
      </c>
      <c r="F145" s="12"/>
      <c r="G145" s="12"/>
      <c r="H145" s="12" t="s">
        <v>10</v>
      </c>
      <c r="I145" s="14"/>
    </row>
    <row r="146" spans="1:9">
      <c r="A146" s="8">
        <v>45912</v>
      </c>
      <c r="B146" s="12">
        <v>1650</v>
      </c>
      <c r="C146" s="13" t="s">
        <v>84</v>
      </c>
      <c r="D146" s="12">
        <v>388</v>
      </c>
      <c r="E146" s="12">
        <v>388</v>
      </c>
      <c r="F146" s="12"/>
      <c r="G146" s="12"/>
      <c r="H146" s="12" t="s">
        <v>10</v>
      </c>
      <c r="I146" s="14"/>
    </row>
    <row r="147" spans="1:9">
      <c r="A147" s="8">
        <v>45912</v>
      </c>
      <c r="B147" s="12">
        <v>1908</v>
      </c>
      <c r="C147" s="13" t="s">
        <v>77</v>
      </c>
      <c r="D147" s="12">
        <v>402</v>
      </c>
      <c r="E147" s="12">
        <v>402</v>
      </c>
      <c r="F147" s="12"/>
      <c r="G147" s="12"/>
      <c r="H147" s="12" t="s">
        <v>10</v>
      </c>
      <c r="I147" s="14"/>
    </row>
    <row r="148" spans="1:9">
      <c r="A148" s="8">
        <v>45912</v>
      </c>
      <c r="B148" s="12">
        <v>1909</v>
      </c>
      <c r="C148" s="13" t="s">
        <v>83</v>
      </c>
      <c r="D148" s="12">
        <v>342</v>
      </c>
      <c r="E148" s="12">
        <v>342</v>
      </c>
      <c r="F148" s="12"/>
      <c r="G148" s="12"/>
      <c r="H148" s="12" t="s">
        <v>10</v>
      </c>
      <c r="I148" s="14"/>
    </row>
    <row r="149" spans="1:9">
      <c r="A149" s="8">
        <v>45912</v>
      </c>
      <c r="B149" s="12">
        <v>1632</v>
      </c>
      <c r="C149" s="13" t="s">
        <v>78</v>
      </c>
      <c r="D149" s="12">
        <v>912</v>
      </c>
      <c r="E149" s="12">
        <v>912</v>
      </c>
      <c r="F149" s="12"/>
      <c r="G149" s="12"/>
      <c r="H149" s="12" t="s">
        <v>10</v>
      </c>
      <c r="I149" s="14"/>
    </row>
    <row r="150" spans="1:9">
      <c r="A150" s="8">
        <v>45912</v>
      </c>
      <c r="B150" s="12">
        <v>1652</v>
      </c>
      <c r="C150" s="13" t="s">
        <v>104</v>
      </c>
      <c r="D150" s="12">
        <v>339</v>
      </c>
      <c r="E150" s="12">
        <v>339</v>
      </c>
      <c r="F150" s="12"/>
      <c r="G150" s="12"/>
      <c r="H150" s="12" t="s">
        <v>10</v>
      </c>
      <c r="I150" s="14"/>
    </row>
    <row r="151" spans="1:9">
      <c r="A151" s="8">
        <v>45912</v>
      </c>
      <c r="B151" s="12">
        <v>1653</v>
      </c>
      <c r="C151" s="13" t="s">
        <v>95</v>
      </c>
      <c r="D151" s="12">
        <v>339</v>
      </c>
      <c r="E151" s="12">
        <v>339</v>
      </c>
      <c r="F151" s="12"/>
      <c r="G151" s="12"/>
      <c r="H151" s="12" t="s">
        <v>10</v>
      </c>
      <c r="I151" s="14"/>
    </row>
    <row r="152" spans="1:9">
      <c r="A152" s="8">
        <v>45913</v>
      </c>
      <c r="B152" s="12">
        <v>1909</v>
      </c>
      <c r="C152" s="13" t="s">
        <v>83</v>
      </c>
      <c r="D152" s="12">
        <v>448</v>
      </c>
      <c r="E152" s="12">
        <v>448</v>
      </c>
      <c r="F152" s="12"/>
      <c r="G152" s="12"/>
      <c r="H152" s="12" t="s">
        <v>10</v>
      </c>
      <c r="I152" s="14">
        <f>SUM(E152:E163)</f>
        <v>3392</v>
      </c>
    </row>
    <row r="153" spans="1:9">
      <c r="A153" s="8">
        <v>45913</v>
      </c>
      <c r="B153" s="12">
        <v>1908</v>
      </c>
      <c r="C153" s="13" t="s">
        <v>77</v>
      </c>
      <c r="D153" s="12">
        <v>404</v>
      </c>
      <c r="E153" s="12">
        <v>404</v>
      </c>
      <c r="F153" s="12"/>
      <c r="G153" s="12"/>
      <c r="H153" s="12" t="s">
        <v>10</v>
      </c>
      <c r="I153" s="14"/>
    </row>
    <row r="154" spans="1:9">
      <c r="A154" s="8">
        <v>45913</v>
      </c>
      <c r="B154" s="12">
        <v>1632</v>
      </c>
      <c r="C154" s="13" t="s">
        <v>78</v>
      </c>
      <c r="D154" s="12">
        <v>304</v>
      </c>
      <c r="E154" s="12">
        <v>307</v>
      </c>
      <c r="F154" s="12"/>
      <c r="G154" s="12"/>
      <c r="H154" s="12" t="s">
        <v>10</v>
      </c>
      <c r="I154" s="14"/>
    </row>
    <row r="155" spans="1:9">
      <c r="A155" s="8">
        <v>45913</v>
      </c>
      <c r="B155" s="12">
        <v>1625</v>
      </c>
      <c r="C155" s="13" t="s">
        <v>90</v>
      </c>
      <c r="D155" s="12">
        <v>426</v>
      </c>
      <c r="E155" s="12">
        <v>426</v>
      </c>
      <c r="F155" s="12"/>
      <c r="G155" s="12"/>
      <c r="H155" s="12" t="s">
        <v>10</v>
      </c>
      <c r="I155" s="14"/>
    </row>
    <row r="156" spans="1:9">
      <c r="A156" s="8">
        <v>45913</v>
      </c>
      <c r="B156" s="12">
        <v>9845</v>
      </c>
      <c r="C156" s="13" t="s">
        <v>80</v>
      </c>
      <c r="D156" s="12">
        <v>404</v>
      </c>
      <c r="E156" s="12">
        <v>404</v>
      </c>
      <c r="F156" s="12"/>
      <c r="G156" s="12"/>
      <c r="H156" s="12" t="s">
        <v>10</v>
      </c>
      <c r="I156" s="14"/>
    </row>
    <row r="157" spans="1:9">
      <c r="A157" s="8">
        <v>45913</v>
      </c>
      <c r="B157" s="12">
        <v>1845</v>
      </c>
      <c r="C157" s="13" t="s">
        <v>85</v>
      </c>
      <c r="D157" s="12">
        <v>588</v>
      </c>
      <c r="E157" s="12">
        <v>588</v>
      </c>
      <c r="F157" s="12"/>
      <c r="G157" s="12"/>
      <c r="H157" s="12" t="s">
        <v>10</v>
      </c>
      <c r="I157" s="14"/>
    </row>
    <row r="158" spans="1:9">
      <c r="A158" s="8">
        <v>45913</v>
      </c>
      <c r="B158" s="12">
        <v>9632</v>
      </c>
      <c r="C158" s="13" t="s">
        <v>75</v>
      </c>
      <c r="D158" s="12">
        <v>120</v>
      </c>
      <c r="E158" s="12">
        <v>120</v>
      </c>
      <c r="F158" s="12"/>
      <c r="G158" s="12"/>
      <c r="H158" s="12" t="s">
        <v>10</v>
      </c>
      <c r="I158" s="14"/>
    </row>
    <row r="159" spans="1:9">
      <c r="A159" s="8">
        <v>45913</v>
      </c>
      <c r="B159" s="12">
        <v>1653</v>
      </c>
      <c r="C159" s="13" t="s">
        <v>95</v>
      </c>
      <c r="D159" s="12">
        <v>472</v>
      </c>
      <c r="E159" s="12">
        <v>472</v>
      </c>
      <c r="F159" s="12"/>
      <c r="G159" s="12"/>
      <c r="H159" s="12" t="s">
        <v>10</v>
      </c>
      <c r="I159" s="14"/>
    </row>
    <row r="160" spans="1:9">
      <c r="A160" s="8">
        <v>45913</v>
      </c>
      <c r="B160" s="12">
        <v>1652</v>
      </c>
      <c r="C160" s="13" t="s">
        <v>104</v>
      </c>
      <c r="D160" s="12">
        <v>196</v>
      </c>
      <c r="E160" s="12">
        <v>196</v>
      </c>
      <c r="F160" s="12"/>
      <c r="G160" s="12"/>
      <c r="H160" s="12" t="s">
        <v>10</v>
      </c>
      <c r="I160" s="14"/>
    </row>
    <row r="161" spans="1:9">
      <c r="A161" s="8">
        <v>45913</v>
      </c>
      <c r="B161" s="12">
        <v>1639</v>
      </c>
      <c r="C161" s="13" t="s">
        <v>88</v>
      </c>
      <c r="D161" s="12">
        <v>11</v>
      </c>
      <c r="E161" s="12">
        <v>11</v>
      </c>
      <c r="F161" s="12"/>
      <c r="G161" s="12"/>
      <c r="H161" s="12" t="s">
        <v>10</v>
      </c>
      <c r="I161" s="14"/>
    </row>
    <row r="162" spans="1:9">
      <c r="A162" s="8">
        <v>45913</v>
      </c>
      <c r="B162" s="12">
        <v>1632</v>
      </c>
      <c r="C162" s="13" t="s">
        <v>78</v>
      </c>
      <c r="D162" s="12">
        <v>6</v>
      </c>
      <c r="E162" s="12">
        <v>6</v>
      </c>
      <c r="F162" s="12"/>
      <c r="G162" s="12"/>
      <c r="H162" s="12" t="s">
        <v>10</v>
      </c>
      <c r="I162" s="14"/>
    </row>
    <row r="163" spans="1:9">
      <c r="A163" s="8">
        <v>45913</v>
      </c>
      <c r="B163" s="12">
        <v>1909</v>
      </c>
      <c r="C163" s="13" t="s">
        <v>83</v>
      </c>
      <c r="D163" s="12">
        <v>10</v>
      </c>
      <c r="E163" s="12">
        <v>10</v>
      </c>
      <c r="F163" s="12"/>
      <c r="G163" s="12"/>
      <c r="H163" s="12" t="s">
        <v>10</v>
      </c>
      <c r="I163" s="14"/>
    </row>
    <row r="164" spans="1:9">
      <c r="A164" s="8">
        <v>45914</v>
      </c>
      <c r="B164" s="12">
        <v>9845</v>
      </c>
      <c r="C164" s="13" t="s">
        <v>80</v>
      </c>
      <c r="D164" s="12">
        <v>520</v>
      </c>
      <c r="E164" s="12">
        <v>520</v>
      </c>
      <c r="F164" s="12"/>
      <c r="G164" s="12"/>
      <c r="H164" s="12" t="s">
        <v>10</v>
      </c>
      <c r="I164" s="14">
        <f>SUM(E164:E174)</f>
        <v>2248</v>
      </c>
    </row>
    <row r="165" spans="1:9">
      <c r="A165" s="8">
        <v>45914</v>
      </c>
      <c r="B165" s="12">
        <v>1632</v>
      </c>
      <c r="C165" s="13" t="s">
        <v>78</v>
      </c>
      <c r="D165" s="12">
        <v>368</v>
      </c>
      <c r="E165" s="12">
        <v>368</v>
      </c>
      <c r="F165" s="12"/>
      <c r="G165" s="12"/>
      <c r="H165" s="12" t="s">
        <v>10</v>
      </c>
      <c r="I165" s="14"/>
    </row>
    <row r="166" spans="1:9">
      <c r="A166" s="8">
        <v>45914</v>
      </c>
      <c r="B166" s="12">
        <v>9632</v>
      </c>
      <c r="C166" s="13" t="s">
        <v>75</v>
      </c>
      <c r="D166" s="12">
        <v>288</v>
      </c>
      <c r="E166" s="12">
        <v>288</v>
      </c>
      <c r="F166" s="12"/>
      <c r="G166" s="12"/>
      <c r="H166" s="12" t="s">
        <v>10</v>
      </c>
      <c r="I166" s="14"/>
    </row>
    <row r="167" spans="1:9">
      <c r="A167" s="8">
        <v>45914</v>
      </c>
      <c r="B167" s="12">
        <v>1909</v>
      </c>
      <c r="C167" s="13" t="s">
        <v>83</v>
      </c>
      <c r="D167" s="12">
        <v>552</v>
      </c>
      <c r="E167" s="12">
        <v>552</v>
      </c>
      <c r="F167" s="12"/>
      <c r="G167" s="12"/>
      <c r="H167" s="12" t="s">
        <v>10</v>
      </c>
      <c r="I167" s="14"/>
    </row>
    <row r="168" spans="1:9">
      <c r="A168" s="8">
        <v>45914</v>
      </c>
      <c r="B168" s="12">
        <v>9627</v>
      </c>
      <c r="C168" s="13" t="s">
        <v>82</v>
      </c>
      <c r="D168" s="12">
        <v>114</v>
      </c>
      <c r="E168" s="12">
        <v>114</v>
      </c>
      <c r="F168" s="12"/>
      <c r="G168" s="12"/>
      <c r="H168" s="12" t="s">
        <v>10</v>
      </c>
      <c r="I168" s="14"/>
    </row>
    <row r="169" spans="1:9">
      <c r="A169" s="8">
        <v>45914</v>
      </c>
      <c r="B169" s="12">
        <v>9845</v>
      </c>
      <c r="C169" s="13" t="s">
        <v>80</v>
      </c>
      <c r="D169" s="12">
        <v>12</v>
      </c>
      <c r="E169" s="12">
        <v>12</v>
      </c>
      <c r="F169" s="12"/>
      <c r="G169" s="12"/>
      <c r="H169" s="12" t="s">
        <v>10</v>
      </c>
      <c r="I169" s="14"/>
    </row>
    <row r="170" spans="1:9">
      <c r="A170" s="8">
        <v>45914</v>
      </c>
      <c r="B170" s="12">
        <v>1639</v>
      </c>
      <c r="C170" s="13" t="s">
        <v>88</v>
      </c>
      <c r="D170" s="12">
        <v>8</v>
      </c>
      <c r="E170" s="12">
        <v>8</v>
      </c>
      <c r="F170" s="12"/>
      <c r="G170" s="12"/>
      <c r="H170" s="12" t="s">
        <v>10</v>
      </c>
      <c r="I170" s="14"/>
    </row>
    <row r="171" spans="1:9">
      <c r="A171" s="8">
        <v>45914</v>
      </c>
      <c r="B171" s="12">
        <v>909</v>
      </c>
      <c r="C171" s="13" t="s">
        <v>11</v>
      </c>
      <c r="D171" s="12">
        <v>10</v>
      </c>
      <c r="E171" s="12">
        <v>10</v>
      </c>
      <c r="F171" s="12"/>
      <c r="G171" s="12"/>
      <c r="H171" s="12" t="s">
        <v>10</v>
      </c>
      <c r="I171" s="14"/>
    </row>
    <row r="172" spans="1:9">
      <c r="A172" s="8">
        <v>45914</v>
      </c>
      <c r="B172" s="12">
        <v>9909</v>
      </c>
      <c r="C172" s="13" t="s">
        <v>86</v>
      </c>
      <c r="D172" s="12">
        <v>232</v>
      </c>
      <c r="E172" s="12">
        <v>232</v>
      </c>
      <c r="F172" s="12"/>
      <c r="G172" s="12"/>
      <c r="H172" s="12" t="s">
        <v>10</v>
      </c>
      <c r="I172" s="14"/>
    </row>
    <row r="173" spans="1:9">
      <c r="A173" s="8">
        <v>45914</v>
      </c>
      <c r="B173" s="12">
        <v>9908</v>
      </c>
      <c r="C173" s="13" t="s">
        <v>89</v>
      </c>
      <c r="D173" s="12">
        <v>132</v>
      </c>
      <c r="E173" s="12">
        <v>132</v>
      </c>
      <c r="F173" s="12"/>
      <c r="G173" s="12"/>
      <c r="H173" s="12" t="s">
        <v>10</v>
      </c>
      <c r="I173" s="14"/>
    </row>
    <row r="174" spans="1:9">
      <c r="A174" s="8">
        <v>45914</v>
      </c>
      <c r="B174" s="12">
        <v>653</v>
      </c>
      <c r="C174" s="13" t="s">
        <v>74</v>
      </c>
      <c r="D174" s="12">
        <v>12</v>
      </c>
      <c r="E174" s="12">
        <v>12</v>
      </c>
      <c r="F174" s="12"/>
      <c r="G174" s="12"/>
      <c r="H174" s="12" t="s">
        <v>10</v>
      </c>
      <c r="I174" s="14"/>
    </row>
    <row r="175" spans="1:9">
      <c r="A175" s="8">
        <v>45915</v>
      </c>
      <c r="B175" s="12">
        <v>1653</v>
      </c>
      <c r="C175" s="13" t="s">
        <v>95</v>
      </c>
      <c r="D175" s="12">
        <v>620</v>
      </c>
      <c r="E175" s="12">
        <v>620</v>
      </c>
      <c r="F175" s="12"/>
      <c r="G175" s="12"/>
      <c r="H175" s="12" t="s">
        <v>10</v>
      </c>
      <c r="I175" s="14">
        <f>SUM(E175:E188)</f>
        <v>3184</v>
      </c>
    </row>
    <row r="176" spans="1:9">
      <c r="A176" s="8">
        <v>45915</v>
      </c>
      <c r="B176" s="12">
        <v>1632</v>
      </c>
      <c r="C176" s="13" t="s">
        <v>78</v>
      </c>
      <c r="D176" s="12">
        <v>422</v>
      </c>
      <c r="E176" s="12">
        <v>422</v>
      </c>
      <c r="F176" s="12"/>
      <c r="G176" s="12"/>
      <c r="H176" s="12" t="s">
        <v>10</v>
      </c>
      <c r="I176" s="14"/>
    </row>
    <row r="177" spans="1:9">
      <c r="A177" s="8">
        <v>45915</v>
      </c>
      <c r="B177" s="12">
        <v>1625</v>
      </c>
      <c r="C177" s="13" t="s">
        <v>90</v>
      </c>
      <c r="D177" s="12">
        <v>360</v>
      </c>
      <c r="E177" s="12">
        <v>360</v>
      </c>
      <c r="F177" s="12"/>
      <c r="G177" s="12"/>
      <c r="H177" s="12" t="s">
        <v>10</v>
      </c>
      <c r="I177" s="14"/>
    </row>
    <row r="178" spans="1:9">
      <c r="A178" s="8">
        <v>45915</v>
      </c>
      <c r="B178" s="12">
        <v>1909</v>
      </c>
      <c r="C178" s="13" t="s">
        <v>83</v>
      </c>
      <c r="D178" s="12">
        <v>378</v>
      </c>
      <c r="E178" s="12">
        <v>378</v>
      </c>
      <c r="F178" s="12"/>
      <c r="G178" s="12"/>
      <c r="H178" s="12" t="s">
        <v>10</v>
      </c>
      <c r="I178" s="14"/>
    </row>
    <row r="179" spans="1:9">
      <c r="A179" s="8">
        <v>45915</v>
      </c>
      <c r="B179" s="12">
        <v>1908</v>
      </c>
      <c r="C179" s="13" t="s">
        <v>77</v>
      </c>
      <c r="D179" s="12">
        <v>210</v>
      </c>
      <c r="E179" s="12">
        <v>210</v>
      </c>
      <c r="F179" s="12"/>
      <c r="G179" s="12"/>
      <c r="H179" s="12" t="s">
        <v>10</v>
      </c>
      <c r="I179" s="14"/>
    </row>
    <row r="180" spans="1:9">
      <c r="A180" s="8">
        <v>45915</v>
      </c>
      <c r="B180" s="12">
        <v>1656</v>
      </c>
      <c r="C180" s="13" t="s">
        <v>91</v>
      </c>
      <c r="D180" s="12">
        <v>294</v>
      </c>
      <c r="E180" s="12">
        <v>294</v>
      </c>
      <c r="F180" s="12"/>
      <c r="G180" s="12"/>
      <c r="H180" s="12" t="s">
        <v>10</v>
      </c>
      <c r="I180" s="14"/>
    </row>
    <row r="181" spans="1:9">
      <c r="A181" s="8">
        <v>45915</v>
      </c>
      <c r="B181" s="12">
        <v>1652</v>
      </c>
      <c r="C181" s="13" t="s">
        <v>104</v>
      </c>
      <c r="D181" s="12">
        <v>210</v>
      </c>
      <c r="E181" s="12">
        <v>210</v>
      </c>
      <c r="F181" s="12"/>
      <c r="G181" s="12"/>
      <c r="H181" s="12" t="s">
        <v>10</v>
      </c>
      <c r="I181" s="14"/>
    </row>
    <row r="182" spans="1:9">
      <c r="A182" s="8">
        <v>45915</v>
      </c>
      <c r="B182" s="12">
        <v>1845</v>
      </c>
      <c r="C182" s="13" t="s">
        <v>85</v>
      </c>
      <c r="D182" s="12">
        <v>448</v>
      </c>
      <c r="E182" s="12">
        <v>448</v>
      </c>
      <c r="F182" s="12"/>
      <c r="G182" s="12"/>
      <c r="H182" s="12" t="s">
        <v>10</v>
      </c>
      <c r="I182" s="14"/>
    </row>
    <row r="183" spans="1:9">
      <c r="A183" s="8">
        <v>45915</v>
      </c>
      <c r="B183" s="12">
        <v>1650</v>
      </c>
      <c r="C183" s="13" t="s">
        <v>84</v>
      </c>
      <c r="D183" s="12">
        <v>188</v>
      </c>
      <c r="E183" s="12">
        <v>188</v>
      </c>
      <c r="F183" s="12"/>
      <c r="G183" s="12"/>
      <c r="H183" s="12" t="s">
        <v>10</v>
      </c>
      <c r="I183" s="14"/>
    </row>
    <row r="184" spans="1:9">
      <c r="A184" s="8">
        <v>45915</v>
      </c>
      <c r="B184" s="12">
        <v>9835</v>
      </c>
      <c r="C184" s="13" t="s">
        <v>105</v>
      </c>
      <c r="D184" s="12">
        <v>30</v>
      </c>
      <c r="E184" s="12">
        <v>30</v>
      </c>
      <c r="F184" s="12"/>
      <c r="G184" s="12"/>
      <c r="H184" s="12" t="s">
        <v>10</v>
      </c>
      <c r="I184" s="14"/>
    </row>
    <row r="185" spans="1:9">
      <c r="A185" s="8">
        <v>45915</v>
      </c>
      <c r="B185" s="12">
        <v>845</v>
      </c>
      <c r="C185" s="13" t="s">
        <v>24</v>
      </c>
      <c r="D185" s="12">
        <v>6</v>
      </c>
      <c r="E185" s="12">
        <v>6</v>
      </c>
      <c r="F185" s="12"/>
      <c r="G185" s="12"/>
      <c r="H185" s="12" t="s">
        <v>10</v>
      </c>
      <c r="I185" s="14"/>
    </row>
    <row r="186" spans="1:9">
      <c r="A186" s="8">
        <v>45915</v>
      </c>
      <c r="B186" s="12">
        <v>909</v>
      </c>
      <c r="C186" s="13" t="s">
        <v>11</v>
      </c>
      <c r="D186" s="12">
        <v>6</v>
      </c>
      <c r="E186" s="12">
        <v>6</v>
      </c>
      <c r="F186" s="12"/>
      <c r="G186" s="12"/>
      <c r="H186" s="12" t="s">
        <v>10</v>
      </c>
      <c r="I186" s="14"/>
    </row>
    <row r="187" spans="1:9">
      <c r="A187" s="8">
        <v>45915</v>
      </c>
      <c r="B187" s="12">
        <v>653</v>
      </c>
      <c r="C187" s="13" t="s">
        <v>74</v>
      </c>
      <c r="D187" s="12">
        <v>6</v>
      </c>
      <c r="E187" s="12">
        <v>6</v>
      </c>
      <c r="F187" s="12"/>
      <c r="G187" s="12"/>
      <c r="H187" s="12" t="s">
        <v>10</v>
      </c>
      <c r="I187" s="14"/>
    </row>
    <row r="188" spans="1:9">
      <c r="A188" s="8">
        <v>45915</v>
      </c>
      <c r="B188" s="12">
        <v>656</v>
      </c>
      <c r="C188" s="13" t="s">
        <v>73</v>
      </c>
      <c r="D188" s="12">
        <v>6</v>
      </c>
      <c r="E188" s="12">
        <v>6</v>
      </c>
      <c r="F188" s="12"/>
      <c r="G188" s="12"/>
      <c r="H188" s="12" t="s">
        <v>10</v>
      </c>
      <c r="I188" s="14"/>
    </row>
    <row r="189" spans="1:9">
      <c r="A189" s="8">
        <v>45916</v>
      </c>
      <c r="B189" s="12">
        <v>1909</v>
      </c>
      <c r="C189" s="13" t="s">
        <v>83</v>
      </c>
      <c r="D189" s="12">
        <v>384</v>
      </c>
      <c r="E189" s="12">
        <v>384</v>
      </c>
      <c r="F189" s="12"/>
      <c r="G189" s="12"/>
      <c r="H189" s="12" t="s">
        <v>10</v>
      </c>
      <c r="I189" s="14">
        <f>SUM(E189:E197)</f>
        <v>2716</v>
      </c>
    </row>
    <row r="190" spans="1:9">
      <c r="A190" s="8">
        <v>45916</v>
      </c>
      <c r="B190" s="12">
        <v>1908</v>
      </c>
      <c r="C190" s="13" t="s">
        <v>77</v>
      </c>
      <c r="D190" s="12">
        <v>294</v>
      </c>
      <c r="E190" s="12">
        <v>294</v>
      </c>
      <c r="F190" s="12"/>
      <c r="G190" s="12"/>
      <c r="H190" s="12" t="s">
        <v>10</v>
      </c>
      <c r="I190" s="14"/>
    </row>
    <row r="191" spans="1:9">
      <c r="A191" s="8">
        <v>45916</v>
      </c>
      <c r="B191" s="12">
        <v>1845</v>
      </c>
      <c r="C191" s="13" t="s">
        <v>85</v>
      </c>
      <c r="D191" s="12">
        <v>576</v>
      </c>
      <c r="E191" s="12">
        <v>576</v>
      </c>
      <c r="F191" s="12"/>
      <c r="G191" s="12"/>
      <c r="H191" s="12" t="s">
        <v>10</v>
      </c>
      <c r="I191" s="14"/>
    </row>
    <row r="192" spans="1:9">
      <c r="A192" s="8">
        <v>45916</v>
      </c>
      <c r="B192" s="12">
        <v>9632</v>
      </c>
      <c r="C192" s="13" t="s">
        <v>75</v>
      </c>
      <c r="D192" s="12">
        <v>504</v>
      </c>
      <c r="E192" s="12">
        <v>504</v>
      </c>
      <c r="F192" s="12"/>
      <c r="G192" s="12"/>
      <c r="H192" s="12" t="s">
        <v>10</v>
      </c>
      <c r="I192" s="14"/>
    </row>
    <row r="193" spans="1:9">
      <c r="A193" s="8">
        <v>45916</v>
      </c>
      <c r="B193" s="12">
        <v>1625</v>
      </c>
      <c r="C193" s="13" t="s">
        <v>90</v>
      </c>
      <c r="D193" s="12">
        <v>380</v>
      </c>
      <c r="E193" s="12">
        <v>380</v>
      </c>
      <c r="F193" s="12"/>
      <c r="G193" s="12"/>
      <c r="H193" s="12" t="s">
        <v>10</v>
      </c>
      <c r="I193" s="14"/>
    </row>
    <row r="194" spans="1:9">
      <c r="A194" s="8">
        <v>45916</v>
      </c>
      <c r="B194" s="12">
        <v>9839</v>
      </c>
      <c r="C194" s="13" t="s">
        <v>93</v>
      </c>
      <c r="D194" s="12">
        <v>138</v>
      </c>
      <c r="E194" s="12">
        <v>138</v>
      </c>
      <c r="F194" s="12"/>
      <c r="G194" s="12"/>
      <c r="H194" s="12" t="s">
        <v>10</v>
      </c>
      <c r="I194" s="14"/>
    </row>
    <row r="195" spans="1:9">
      <c r="A195" s="8">
        <v>45916</v>
      </c>
      <c r="B195" s="12">
        <v>9845</v>
      </c>
      <c r="C195" s="13" t="s">
        <v>80</v>
      </c>
      <c r="D195" s="12">
        <v>212</v>
      </c>
      <c r="E195" s="12">
        <v>212</v>
      </c>
      <c r="F195" s="12"/>
      <c r="G195" s="12"/>
      <c r="H195" s="12" t="s">
        <v>10</v>
      </c>
      <c r="I195" s="14"/>
    </row>
    <row r="196" spans="1:9">
      <c r="A196" s="8">
        <v>45916</v>
      </c>
      <c r="B196" s="12">
        <v>9909</v>
      </c>
      <c r="C196" s="13" t="s">
        <v>86</v>
      </c>
      <c r="D196" s="12">
        <v>182</v>
      </c>
      <c r="E196" s="12">
        <v>182</v>
      </c>
      <c r="F196" s="12"/>
      <c r="G196" s="12"/>
      <c r="H196" s="12" t="s">
        <v>10</v>
      </c>
      <c r="I196" s="14"/>
    </row>
    <row r="197" spans="1:9">
      <c r="A197" s="8">
        <v>45916</v>
      </c>
      <c r="B197" s="12">
        <v>9908</v>
      </c>
      <c r="C197" s="13" t="s">
        <v>89</v>
      </c>
      <c r="D197" s="12">
        <v>46</v>
      </c>
      <c r="E197" s="12">
        <v>46</v>
      </c>
      <c r="F197" s="12"/>
      <c r="G197" s="12"/>
      <c r="H197" s="12" t="s">
        <v>10</v>
      </c>
      <c r="I197" s="14"/>
    </row>
    <row r="198" spans="1:9">
      <c r="A198" s="8">
        <v>45917</v>
      </c>
      <c r="B198" s="12">
        <v>1909</v>
      </c>
      <c r="C198" s="13" t="s">
        <v>83</v>
      </c>
      <c r="D198" s="12">
        <v>344</v>
      </c>
      <c r="E198" s="12">
        <v>344</v>
      </c>
      <c r="F198" s="12"/>
      <c r="G198" s="12"/>
      <c r="H198" s="12" t="s">
        <v>10</v>
      </c>
      <c r="I198" s="14">
        <f>SUM(E198:E203)</f>
        <v>2838</v>
      </c>
    </row>
    <row r="199" spans="1:9">
      <c r="A199" s="8">
        <v>45917</v>
      </c>
      <c r="B199" s="12">
        <v>1908</v>
      </c>
      <c r="C199" s="13" t="s">
        <v>77</v>
      </c>
      <c r="D199" s="12">
        <v>546</v>
      </c>
      <c r="E199" s="12">
        <v>546</v>
      </c>
      <c r="F199" s="12"/>
      <c r="G199" s="12"/>
      <c r="H199" s="12" t="s">
        <v>10</v>
      </c>
      <c r="I199" s="14"/>
    </row>
    <row r="200" spans="1:9">
      <c r="A200" s="8">
        <v>45917</v>
      </c>
      <c r="B200" s="12">
        <v>1653</v>
      </c>
      <c r="C200" s="13" t="s">
        <v>95</v>
      </c>
      <c r="D200" s="12">
        <v>640</v>
      </c>
      <c r="E200" s="12">
        <v>640</v>
      </c>
      <c r="F200" s="12"/>
      <c r="G200" s="12"/>
      <c r="H200" s="12" t="s">
        <v>10</v>
      </c>
      <c r="I200" s="14"/>
    </row>
    <row r="201" spans="1:9">
      <c r="A201" s="8">
        <v>45917</v>
      </c>
      <c r="B201" s="12">
        <v>1845</v>
      </c>
      <c r="C201" s="13" t="s">
        <v>85</v>
      </c>
      <c r="D201" s="12">
        <v>604</v>
      </c>
      <c r="E201" s="12">
        <v>604</v>
      </c>
      <c r="F201" s="12"/>
      <c r="G201" s="12"/>
      <c r="H201" s="12" t="s">
        <v>10</v>
      </c>
      <c r="I201" s="14"/>
    </row>
    <row r="202" spans="1:9">
      <c r="A202" s="8">
        <v>45917</v>
      </c>
      <c r="B202" s="12">
        <v>1651</v>
      </c>
      <c r="C202" s="13" t="s">
        <v>103</v>
      </c>
      <c r="D202" s="12">
        <v>144</v>
      </c>
      <c r="E202" s="12">
        <v>144</v>
      </c>
      <c r="F202" s="12"/>
      <c r="G202" s="12"/>
      <c r="H202" s="12" t="s">
        <v>10</v>
      </c>
      <c r="I202" s="14"/>
    </row>
    <row r="203" spans="1:9">
      <c r="A203" s="8">
        <v>45917</v>
      </c>
      <c r="B203" s="12">
        <v>1625</v>
      </c>
      <c r="C203" s="13" t="s">
        <v>90</v>
      </c>
      <c r="D203" s="12">
        <v>560</v>
      </c>
      <c r="E203" s="12">
        <v>560</v>
      </c>
      <c r="F203" s="12"/>
      <c r="G203" s="12"/>
      <c r="H203" s="12" t="s">
        <v>10</v>
      </c>
      <c r="I203" s="14"/>
    </row>
    <row r="204" spans="1:9">
      <c r="A204" s="8">
        <v>45918</v>
      </c>
      <c r="B204" s="12">
        <v>1909</v>
      </c>
      <c r="C204" s="13" t="s">
        <v>83</v>
      </c>
      <c r="D204" s="12">
        <v>492</v>
      </c>
      <c r="E204" s="12">
        <v>492</v>
      </c>
      <c r="F204" s="12"/>
      <c r="G204" s="12"/>
      <c r="H204" s="12" t="s">
        <v>10</v>
      </c>
      <c r="I204" s="14">
        <f>SUM(E204:E215)</f>
        <v>3245</v>
      </c>
    </row>
    <row r="205" spans="1:9">
      <c r="A205" s="8">
        <v>45918</v>
      </c>
      <c r="B205" s="12">
        <v>1908</v>
      </c>
      <c r="C205" s="13" t="s">
        <v>77</v>
      </c>
      <c r="D205" s="12">
        <v>360</v>
      </c>
      <c r="E205" s="12">
        <v>360</v>
      </c>
      <c r="F205" s="12"/>
      <c r="G205" s="12"/>
      <c r="H205" s="12" t="s">
        <v>10</v>
      </c>
      <c r="I205" s="14"/>
    </row>
    <row r="206" spans="1:9">
      <c r="A206" s="8">
        <v>45918</v>
      </c>
      <c r="B206" s="12">
        <v>1845</v>
      </c>
      <c r="C206" s="13" t="s">
        <v>85</v>
      </c>
      <c r="D206" s="12">
        <v>444</v>
      </c>
      <c r="E206" s="12">
        <v>444</v>
      </c>
      <c r="F206" s="12"/>
      <c r="G206" s="12"/>
      <c r="H206" s="12" t="s">
        <v>10</v>
      </c>
      <c r="I206" s="14"/>
    </row>
    <row r="207" spans="1:9">
      <c r="A207" s="8">
        <v>45918</v>
      </c>
      <c r="B207" s="12">
        <v>9632</v>
      </c>
      <c r="C207" s="13" t="s">
        <v>75</v>
      </c>
      <c r="D207" s="12">
        <v>236</v>
      </c>
      <c r="E207" s="12">
        <v>236</v>
      </c>
      <c r="F207" s="12"/>
      <c r="G207" s="12"/>
      <c r="H207" s="12" t="s">
        <v>10</v>
      </c>
      <c r="I207" s="14"/>
    </row>
    <row r="208" spans="1:9">
      <c r="A208" s="8">
        <v>45918</v>
      </c>
      <c r="B208" s="12">
        <v>9909</v>
      </c>
      <c r="C208" s="13" t="s">
        <v>86</v>
      </c>
      <c r="D208" s="12">
        <v>95</v>
      </c>
      <c r="E208" s="12">
        <v>95</v>
      </c>
      <c r="F208" s="12"/>
      <c r="G208" s="12"/>
      <c r="H208" s="12" t="s">
        <v>10</v>
      </c>
      <c r="I208" s="14"/>
    </row>
    <row r="209" spans="1:9">
      <c r="A209" s="8">
        <v>45918</v>
      </c>
      <c r="B209" s="12">
        <v>9908</v>
      </c>
      <c r="C209" s="13" t="s">
        <v>89</v>
      </c>
      <c r="D209" s="12">
        <v>73</v>
      </c>
      <c r="E209" s="12">
        <v>73</v>
      </c>
      <c r="F209" s="12"/>
      <c r="G209" s="12"/>
      <c r="H209" s="12" t="s">
        <v>10</v>
      </c>
      <c r="I209" s="14"/>
    </row>
    <row r="210" spans="1:9">
      <c r="A210" s="8">
        <v>45918</v>
      </c>
      <c r="B210" s="12">
        <v>9845</v>
      </c>
      <c r="C210" s="13" t="s">
        <v>80</v>
      </c>
      <c r="D210" s="12">
        <v>81</v>
      </c>
      <c r="E210" s="12">
        <v>81</v>
      </c>
      <c r="F210" s="12"/>
      <c r="G210" s="12"/>
      <c r="H210" s="12" t="s">
        <v>10</v>
      </c>
      <c r="I210" s="14"/>
    </row>
    <row r="211" spans="1:9">
      <c r="A211" s="8">
        <v>45918</v>
      </c>
      <c r="B211" s="12">
        <v>1653</v>
      </c>
      <c r="C211" s="13" t="s">
        <v>95</v>
      </c>
      <c r="D211" s="12">
        <v>720</v>
      </c>
      <c r="E211" s="12">
        <v>720</v>
      </c>
      <c r="F211" s="12"/>
      <c r="G211" s="12"/>
      <c r="H211" s="12" t="s">
        <v>10</v>
      </c>
      <c r="I211" s="14"/>
    </row>
    <row r="212" spans="1:9">
      <c r="A212" s="8">
        <v>45918</v>
      </c>
      <c r="B212" s="12">
        <v>1632</v>
      </c>
      <c r="C212" s="13" t="s">
        <v>78</v>
      </c>
      <c r="D212" s="12">
        <v>624</v>
      </c>
      <c r="E212" s="12">
        <v>624</v>
      </c>
      <c r="F212" s="12"/>
      <c r="G212" s="12"/>
      <c r="H212" s="12" t="s">
        <v>10</v>
      </c>
      <c r="I212" s="14"/>
    </row>
    <row r="213" spans="1:9">
      <c r="A213" s="8">
        <v>45918</v>
      </c>
      <c r="B213" s="12">
        <v>1845</v>
      </c>
      <c r="C213" s="13" t="s">
        <v>85</v>
      </c>
      <c r="D213" s="12">
        <v>40</v>
      </c>
      <c r="E213" s="12">
        <v>40</v>
      </c>
      <c r="F213" s="12"/>
      <c r="G213" s="12"/>
      <c r="H213" s="12" t="s">
        <v>10</v>
      </c>
      <c r="I213" s="14"/>
    </row>
    <row r="214" spans="1:9">
      <c r="A214" s="8">
        <v>45918</v>
      </c>
      <c r="B214" s="12">
        <v>1909</v>
      </c>
      <c r="C214" s="13" t="s">
        <v>83</v>
      </c>
      <c r="D214" s="12">
        <v>40</v>
      </c>
      <c r="E214" s="12">
        <v>40</v>
      </c>
      <c r="F214" s="12"/>
      <c r="G214" s="12"/>
      <c r="H214" s="12" t="s">
        <v>10</v>
      </c>
      <c r="I214" s="14"/>
    </row>
    <row r="215" spans="1:9">
      <c r="A215" s="8">
        <v>45918</v>
      </c>
      <c r="B215" s="12">
        <v>1908</v>
      </c>
      <c r="C215" s="13" t="s">
        <v>77</v>
      </c>
      <c r="D215" s="12">
        <v>40</v>
      </c>
      <c r="E215" s="12">
        <v>40</v>
      </c>
      <c r="F215" s="12"/>
      <c r="G215" s="12"/>
      <c r="H215" s="12" t="s">
        <v>10</v>
      </c>
      <c r="I215" s="14"/>
    </row>
    <row r="216" spans="1:9">
      <c r="A216" s="8">
        <v>45919</v>
      </c>
      <c r="B216" s="12">
        <v>1909</v>
      </c>
      <c r="C216" s="13" t="s">
        <v>83</v>
      </c>
      <c r="D216" s="12">
        <v>692</v>
      </c>
      <c r="E216" s="12">
        <v>692</v>
      </c>
      <c r="F216" s="12"/>
      <c r="G216" s="12"/>
      <c r="H216" s="12" t="s">
        <v>10</v>
      </c>
      <c r="I216" s="14">
        <f>SUM(E216:E230)</f>
        <v>5298</v>
      </c>
    </row>
    <row r="217" spans="1:9">
      <c r="A217" s="8">
        <v>45919</v>
      </c>
      <c r="B217" s="12">
        <v>1908</v>
      </c>
      <c r="C217" s="13" t="s">
        <v>77</v>
      </c>
      <c r="D217" s="12">
        <v>214</v>
      </c>
      <c r="E217" s="12">
        <v>214</v>
      </c>
      <c r="F217" s="12"/>
      <c r="G217" s="12"/>
      <c r="H217" s="12" t="s">
        <v>10</v>
      </c>
      <c r="I217" s="14"/>
    </row>
    <row r="218" spans="1:9">
      <c r="A218" s="8">
        <v>45919</v>
      </c>
      <c r="B218" s="12">
        <v>9632</v>
      </c>
      <c r="C218" s="13" t="s">
        <v>75</v>
      </c>
      <c r="D218" s="12">
        <v>267</v>
      </c>
      <c r="E218" s="12">
        <v>267</v>
      </c>
      <c r="F218" s="12"/>
      <c r="G218" s="12"/>
      <c r="H218" s="12" t="s">
        <v>10</v>
      </c>
      <c r="I218" s="14"/>
    </row>
    <row r="219" spans="1:9">
      <c r="A219" s="8">
        <v>45919</v>
      </c>
      <c r="B219" s="12">
        <v>1632</v>
      </c>
      <c r="C219" s="13" t="s">
        <v>78</v>
      </c>
      <c r="D219" s="12">
        <v>804</v>
      </c>
      <c r="E219" s="12">
        <v>804</v>
      </c>
      <c r="F219" s="12"/>
      <c r="G219" s="12"/>
      <c r="H219" s="12" t="s">
        <v>10</v>
      </c>
      <c r="I219" s="14"/>
    </row>
    <row r="220" spans="1:9">
      <c r="A220" s="8">
        <v>45919</v>
      </c>
      <c r="B220" s="12">
        <v>9839</v>
      </c>
      <c r="C220" s="13" t="s">
        <v>93</v>
      </c>
      <c r="D220" s="12">
        <v>144</v>
      </c>
      <c r="E220" s="12">
        <v>144</v>
      </c>
      <c r="F220" s="12"/>
      <c r="G220" s="12"/>
      <c r="H220" s="12" t="s">
        <v>10</v>
      </c>
      <c r="I220" s="14"/>
    </row>
    <row r="221" spans="1:9">
      <c r="A221" s="8">
        <v>45919</v>
      </c>
      <c r="B221" s="12">
        <v>9625</v>
      </c>
      <c r="C221" s="13" t="s">
        <v>81</v>
      </c>
      <c r="D221" s="12">
        <v>66</v>
      </c>
      <c r="E221" s="12">
        <v>66</v>
      </c>
      <c r="F221" s="12"/>
      <c r="G221" s="12"/>
      <c r="H221" s="12" t="s">
        <v>10</v>
      </c>
      <c r="I221" s="14"/>
    </row>
    <row r="222" spans="1:9">
      <c r="A222" s="8">
        <v>45919</v>
      </c>
      <c r="B222" s="12">
        <v>1653</v>
      </c>
      <c r="C222" s="13" t="s">
        <v>95</v>
      </c>
      <c r="D222" s="12">
        <v>484</v>
      </c>
      <c r="E222" s="12">
        <v>484</v>
      </c>
      <c r="F222" s="12"/>
      <c r="G222" s="12"/>
      <c r="H222" s="12" t="s">
        <v>10</v>
      </c>
      <c r="I222" s="14"/>
    </row>
    <row r="223" spans="1:9">
      <c r="A223" s="8">
        <v>45919</v>
      </c>
      <c r="B223" s="12">
        <v>1625</v>
      </c>
      <c r="C223" s="13" t="s">
        <v>90</v>
      </c>
      <c r="D223" s="12">
        <v>416</v>
      </c>
      <c r="E223" s="12">
        <v>416</v>
      </c>
      <c r="F223" s="12"/>
      <c r="G223" s="12"/>
      <c r="H223" s="12" t="s">
        <v>10</v>
      </c>
      <c r="I223" s="14"/>
    </row>
    <row r="224" spans="1:9">
      <c r="A224" s="8">
        <v>45919</v>
      </c>
      <c r="B224" s="12">
        <v>1627</v>
      </c>
      <c r="C224" s="13" t="s">
        <v>79</v>
      </c>
      <c r="D224" s="12">
        <v>120</v>
      </c>
      <c r="E224" s="12">
        <v>120</v>
      </c>
      <c r="F224" s="12"/>
      <c r="G224" s="12"/>
      <c r="H224" s="12" t="s">
        <v>10</v>
      </c>
      <c r="I224" s="14"/>
    </row>
    <row r="225" spans="1:9">
      <c r="A225" s="8">
        <v>45919</v>
      </c>
      <c r="B225" s="12">
        <v>1845</v>
      </c>
      <c r="C225" s="13" t="s">
        <v>85</v>
      </c>
      <c r="D225" s="12">
        <v>804</v>
      </c>
      <c r="E225" s="12">
        <v>804</v>
      </c>
      <c r="F225" s="12"/>
      <c r="G225" s="12"/>
      <c r="H225" s="12" t="s">
        <v>10</v>
      </c>
      <c r="I225" s="14"/>
    </row>
    <row r="226" spans="1:9">
      <c r="A226" s="8">
        <v>45919</v>
      </c>
      <c r="B226" s="12">
        <v>9845</v>
      </c>
      <c r="C226" s="13" t="s">
        <v>80</v>
      </c>
      <c r="D226" s="12">
        <v>279</v>
      </c>
      <c r="E226" s="12">
        <v>279</v>
      </c>
      <c r="F226" s="12"/>
      <c r="G226" s="12"/>
      <c r="H226" s="12" t="s">
        <v>10</v>
      </c>
      <c r="I226" s="14"/>
    </row>
    <row r="227" spans="1:9">
      <c r="A227" s="8">
        <v>45919</v>
      </c>
      <c r="B227" s="12">
        <v>1653</v>
      </c>
      <c r="C227" s="13" t="s">
        <v>95</v>
      </c>
      <c r="D227" s="12">
        <v>168</v>
      </c>
      <c r="E227" s="12">
        <v>168</v>
      </c>
      <c r="F227" s="12"/>
      <c r="G227" s="12"/>
      <c r="H227" s="12" t="s">
        <v>10</v>
      </c>
      <c r="I227" s="14"/>
    </row>
    <row r="228" spans="1:9">
      <c r="A228" s="8">
        <v>45919</v>
      </c>
      <c r="B228" s="12">
        <v>845</v>
      </c>
      <c r="C228" s="13" t="s">
        <v>24</v>
      </c>
      <c r="D228" s="12">
        <v>420</v>
      </c>
      <c r="E228" s="12">
        <v>420</v>
      </c>
      <c r="F228" s="12"/>
      <c r="G228" s="12"/>
      <c r="H228" s="12" t="s">
        <v>10</v>
      </c>
      <c r="I228" s="14"/>
    </row>
    <row r="229" spans="1:9">
      <c r="A229" s="8">
        <v>45919</v>
      </c>
      <c r="B229" s="12">
        <v>909</v>
      </c>
      <c r="C229" s="13" t="s">
        <v>11</v>
      </c>
      <c r="D229" s="12">
        <v>232</v>
      </c>
      <c r="E229" s="12">
        <v>232</v>
      </c>
      <c r="F229" s="12"/>
      <c r="G229" s="12"/>
      <c r="H229" s="12" t="s">
        <v>10</v>
      </c>
      <c r="I229" s="14"/>
    </row>
    <row r="230" spans="1:9">
      <c r="A230" s="8">
        <v>45919</v>
      </c>
      <c r="B230" s="12">
        <v>908</v>
      </c>
      <c r="C230" s="13" t="s">
        <v>23</v>
      </c>
      <c r="D230" s="12">
        <v>188</v>
      </c>
      <c r="E230" s="12">
        <v>188</v>
      </c>
      <c r="F230" s="12"/>
      <c r="G230" s="12"/>
      <c r="H230" s="12" t="s">
        <v>10</v>
      </c>
      <c r="I230" s="14"/>
    </row>
    <row r="231" spans="1:9">
      <c r="A231" s="8">
        <v>45920</v>
      </c>
      <c r="B231" s="12">
        <v>1909</v>
      </c>
      <c r="C231" s="13" t="s">
        <v>83</v>
      </c>
      <c r="D231" s="12">
        <v>922</v>
      </c>
      <c r="E231" s="12">
        <v>922</v>
      </c>
      <c r="F231" s="12"/>
      <c r="G231" s="12"/>
      <c r="H231" s="12" t="s">
        <v>10</v>
      </c>
      <c r="I231" s="14">
        <f>SUM(E231:E240)</f>
        <v>5082</v>
      </c>
    </row>
    <row r="232" spans="1:9">
      <c r="A232" s="8">
        <v>45920</v>
      </c>
      <c r="B232" s="12">
        <v>1908</v>
      </c>
      <c r="C232" s="13" t="s">
        <v>77</v>
      </c>
      <c r="D232" s="12">
        <v>534</v>
      </c>
      <c r="E232" s="12">
        <v>534</v>
      </c>
      <c r="F232" s="12"/>
      <c r="G232" s="12"/>
      <c r="H232" s="12" t="s">
        <v>10</v>
      </c>
      <c r="I232" s="14"/>
    </row>
    <row r="233" spans="1:9">
      <c r="A233" s="8">
        <v>45920</v>
      </c>
      <c r="B233" s="12">
        <v>1632</v>
      </c>
      <c r="C233" s="13" t="s">
        <v>78</v>
      </c>
      <c r="D233" s="12">
        <v>822</v>
      </c>
      <c r="E233" s="12">
        <v>822</v>
      </c>
      <c r="F233" s="12"/>
      <c r="G233" s="12"/>
      <c r="H233" s="12" t="s">
        <v>10</v>
      </c>
      <c r="I233" s="14"/>
    </row>
    <row r="234" spans="1:9">
      <c r="A234" s="8">
        <v>45920</v>
      </c>
      <c r="B234" s="12">
        <v>1627</v>
      </c>
      <c r="C234" s="13" t="s">
        <v>79</v>
      </c>
      <c r="D234" s="12">
        <v>540</v>
      </c>
      <c r="E234" s="12">
        <v>540</v>
      </c>
      <c r="F234" s="12"/>
      <c r="G234" s="12"/>
      <c r="H234" s="12" t="s">
        <v>10</v>
      </c>
      <c r="I234" s="14"/>
    </row>
    <row r="235" spans="1:9">
      <c r="A235" s="8">
        <v>45920</v>
      </c>
      <c r="B235" s="12">
        <v>1625</v>
      </c>
      <c r="C235" s="13" t="s">
        <v>90</v>
      </c>
      <c r="D235" s="12">
        <v>676</v>
      </c>
      <c r="E235" s="12">
        <v>676</v>
      </c>
      <c r="F235" s="12"/>
      <c r="G235" s="12"/>
      <c r="H235" s="12" t="s">
        <v>10</v>
      </c>
      <c r="I235" s="14"/>
    </row>
    <row r="236" spans="1:9">
      <c r="A236" s="8">
        <v>45920</v>
      </c>
      <c r="B236" s="12">
        <v>1650</v>
      </c>
      <c r="C236" s="13" t="s">
        <v>84</v>
      </c>
      <c r="D236" s="12">
        <v>228</v>
      </c>
      <c r="E236" s="12">
        <v>228</v>
      </c>
      <c r="F236" s="12"/>
      <c r="G236" s="12"/>
      <c r="H236" s="12" t="s">
        <v>10</v>
      </c>
      <c r="I236" s="14"/>
    </row>
    <row r="237" spans="1:9">
      <c r="A237" s="8">
        <v>45920</v>
      </c>
      <c r="B237" s="12">
        <v>1639</v>
      </c>
      <c r="C237" s="13" t="s">
        <v>88</v>
      </c>
      <c r="D237" s="12">
        <v>232</v>
      </c>
      <c r="E237" s="12">
        <v>232</v>
      </c>
      <c r="F237" s="12"/>
      <c r="G237" s="12"/>
      <c r="H237" s="12" t="s">
        <v>10</v>
      </c>
      <c r="I237" s="14"/>
    </row>
    <row r="238" spans="1:9">
      <c r="A238" s="8">
        <v>45920</v>
      </c>
      <c r="B238" s="12">
        <v>1845</v>
      </c>
      <c r="C238" s="13" t="s">
        <v>85</v>
      </c>
      <c r="D238" s="12">
        <v>1014</v>
      </c>
      <c r="E238" s="12">
        <v>1014</v>
      </c>
      <c r="F238" s="12"/>
      <c r="G238" s="12"/>
      <c r="H238" s="12" t="s">
        <v>10</v>
      </c>
      <c r="I238" s="14"/>
    </row>
    <row r="239" spans="1:9">
      <c r="A239" s="8">
        <v>45920</v>
      </c>
      <c r="B239" s="12">
        <v>9908</v>
      </c>
      <c r="C239" s="13" t="s">
        <v>89</v>
      </c>
      <c r="D239" s="12">
        <v>104</v>
      </c>
      <c r="E239" s="12">
        <v>104</v>
      </c>
      <c r="F239" s="12"/>
      <c r="G239" s="12"/>
      <c r="H239" s="12" t="s">
        <v>10</v>
      </c>
      <c r="I239" s="14"/>
    </row>
    <row r="240" spans="1:9">
      <c r="A240" s="8">
        <v>45920</v>
      </c>
      <c r="B240" s="12">
        <v>9909</v>
      </c>
      <c r="C240" s="13" t="s">
        <v>86</v>
      </c>
      <c r="D240" s="12">
        <v>10</v>
      </c>
      <c r="E240" s="12">
        <v>10</v>
      </c>
      <c r="F240" s="12"/>
      <c r="G240" s="12"/>
      <c r="H240" s="12" t="s">
        <v>10</v>
      </c>
      <c r="I240" s="14"/>
    </row>
    <row r="241" spans="1:9">
      <c r="A241" s="8">
        <v>45921</v>
      </c>
      <c r="B241" s="12">
        <v>1632</v>
      </c>
      <c r="C241" s="13" t="s">
        <v>78</v>
      </c>
      <c r="D241" s="12">
        <v>816</v>
      </c>
      <c r="E241" s="12">
        <v>816</v>
      </c>
      <c r="F241" s="12"/>
      <c r="G241" s="12"/>
      <c r="H241" s="12" t="s">
        <v>10</v>
      </c>
      <c r="I241" s="14">
        <f>SUM(E241:E256)</f>
        <v>5729</v>
      </c>
    </row>
    <row r="242" spans="1:9">
      <c r="A242" s="8">
        <v>45921</v>
      </c>
      <c r="B242" s="12">
        <v>639</v>
      </c>
      <c r="C242" s="13" t="s">
        <v>102</v>
      </c>
      <c r="D242" s="12">
        <v>57</v>
      </c>
      <c r="E242" s="12">
        <v>57</v>
      </c>
      <c r="F242" s="12"/>
      <c r="G242" s="12"/>
      <c r="H242" s="12" t="s">
        <v>10</v>
      </c>
      <c r="I242" s="14"/>
    </row>
    <row r="243" spans="1:9">
      <c r="A243" s="8">
        <v>45921</v>
      </c>
      <c r="B243" s="12">
        <v>1909</v>
      </c>
      <c r="C243" s="13" t="s">
        <v>83</v>
      </c>
      <c r="D243" s="12">
        <v>546</v>
      </c>
      <c r="E243" s="12">
        <v>546</v>
      </c>
      <c r="F243" s="12"/>
      <c r="G243" s="12"/>
      <c r="H243" s="12" t="s">
        <v>10</v>
      </c>
      <c r="I243" s="14"/>
    </row>
    <row r="244" spans="1:9">
      <c r="A244" s="8">
        <v>45921</v>
      </c>
      <c r="B244" s="12">
        <v>1908</v>
      </c>
      <c r="C244" s="13" t="s">
        <v>77</v>
      </c>
      <c r="D244" s="12">
        <v>396</v>
      </c>
      <c r="E244" s="12">
        <v>396</v>
      </c>
      <c r="F244" s="12"/>
      <c r="G244" s="12"/>
      <c r="H244" s="12" t="s">
        <v>10</v>
      </c>
      <c r="I244" s="14"/>
    </row>
    <row r="245" spans="1:9">
      <c r="A245" s="8">
        <v>45921</v>
      </c>
      <c r="B245" s="12">
        <v>1845</v>
      </c>
      <c r="C245" s="13" t="s">
        <v>85</v>
      </c>
      <c r="D245" s="12">
        <v>960</v>
      </c>
      <c r="E245" s="12">
        <v>960</v>
      </c>
      <c r="F245" s="12"/>
      <c r="G245" s="12"/>
      <c r="H245" s="12" t="s">
        <v>10</v>
      </c>
      <c r="I245" s="14"/>
    </row>
    <row r="246" spans="1:9">
      <c r="A246" s="8">
        <v>45921</v>
      </c>
      <c r="B246" s="12">
        <v>1625</v>
      </c>
      <c r="C246" s="13" t="s">
        <v>90</v>
      </c>
      <c r="D246" s="12">
        <v>388</v>
      </c>
      <c r="E246" s="12">
        <v>388</v>
      </c>
      <c r="F246" s="12"/>
      <c r="G246" s="12"/>
      <c r="H246" s="12" t="s">
        <v>10</v>
      </c>
      <c r="I246" s="14"/>
    </row>
    <row r="247" spans="1:9">
      <c r="A247" s="8">
        <v>45921</v>
      </c>
      <c r="B247" s="12">
        <v>1627</v>
      </c>
      <c r="C247" s="13" t="s">
        <v>79</v>
      </c>
      <c r="D247" s="12">
        <v>442</v>
      </c>
      <c r="E247" s="12">
        <v>442</v>
      </c>
      <c r="F247" s="12"/>
      <c r="G247" s="12"/>
      <c r="H247" s="12" t="s">
        <v>10</v>
      </c>
      <c r="I247" s="14"/>
    </row>
    <row r="248" spans="1:9">
      <c r="A248" s="8">
        <v>45921</v>
      </c>
      <c r="B248" s="12">
        <v>9632</v>
      </c>
      <c r="C248" s="13" t="s">
        <v>75</v>
      </c>
      <c r="D248" s="12">
        <v>150</v>
      </c>
      <c r="E248" s="12">
        <v>150</v>
      </c>
      <c r="F248" s="12"/>
      <c r="G248" s="12"/>
      <c r="H248" s="12" t="s">
        <v>10</v>
      </c>
      <c r="I248" s="14"/>
    </row>
    <row r="249" spans="1:9">
      <c r="A249" s="8">
        <v>45921</v>
      </c>
      <c r="B249" s="12">
        <v>9625</v>
      </c>
      <c r="C249" s="13" t="s">
        <v>81</v>
      </c>
      <c r="D249" s="12">
        <v>66</v>
      </c>
      <c r="E249" s="12">
        <v>66</v>
      </c>
      <c r="F249" s="12"/>
      <c r="G249" s="12"/>
      <c r="H249" s="12" t="s">
        <v>10</v>
      </c>
      <c r="I249" s="14"/>
    </row>
    <row r="250" spans="1:9">
      <c r="A250" s="8">
        <v>45921</v>
      </c>
      <c r="B250" s="12">
        <v>1909</v>
      </c>
      <c r="C250" s="13" t="s">
        <v>83</v>
      </c>
      <c r="D250" s="12">
        <v>102</v>
      </c>
      <c r="E250" s="12">
        <v>102</v>
      </c>
      <c r="F250" s="12"/>
      <c r="G250" s="12"/>
      <c r="H250" s="12" t="s">
        <v>10</v>
      </c>
      <c r="I250" s="14"/>
    </row>
    <row r="251" spans="1:9">
      <c r="A251" s="8">
        <v>45921</v>
      </c>
      <c r="B251" s="12">
        <v>1908</v>
      </c>
      <c r="C251" s="13" t="s">
        <v>77</v>
      </c>
      <c r="D251" s="12">
        <v>50</v>
      </c>
      <c r="E251" s="12">
        <v>50</v>
      </c>
      <c r="F251" s="12"/>
      <c r="G251" s="12"/>
      <c r="H251" s="12" t="s">
        <v>10</v>
      </c>
      <c r="I251" s="14"/>
    </row>
    <row r="252" ht="24" spans="1:9">
      <c r="A252" s="8">
        <v>45921</v>
      </c>
      <c r="B252" s="12" t="s">
        <v>106</v>
      </c>
      <c r="C252" s="13" t="s">
        <v>107</v>
      </c>
      <c r="D252" s="12">
        <v>508</v>
      </c>
      <c r="E252" s="12">
        <v>508</v>
      </c>
      <c r="F252" s="12"/>
      <c r="G252" s="12"/>
      <c r="H252" s="12" t="s">
        <v>10</v>
      </c>
      <c r="I252" s="14"/>
    </row>
    <row r="253" spans="1:9">
      <c r="A253" s="8">
        <v>45921</v>
      </c>
      <c r="B253" s="12">
        <v>1657</v>
      </c>
      <c r="C253" s="13" t="s">
        <v>108</v>
      </c>
      <c r="D253" s="12">
        <v>254</v>
      </c>
      <c r="E253" s="12">
        <v>254</v>
      </c>
      <c r="F253" s="12"/>
      <c r="G253" s="12"/>
      <c r="H253" s="12" t="s">
        <v>10</v>
      </c>
      <c r="I253" s="14"/>
    </row>
    <row r="254" spans="1:9">
      <c r="A254" s="8">
        <v>45921</v>
      </c>
      <c r="B254" s="12">
        <v>1658</v>
      </c>
      <c r="C254" s="13" t="s">
        <v>109</v>
      </c>
      <c r="D254" s="12">
        <v>254</v>
      </c>
      <c r="E254" s="12">
        <v>254</v>
      </c>
      <c r="F254" s="12"/>
      <c r="G254" s="12"/>
      <c r="H254" s="12" t="s">
        <v>10</v>
      </c>
      <c r="I254" s="14"/>
    </row>
    <row r="255" spans="1:9">
      <c r="A255" s="8">
        <v>45921</v>
      </c>
      <c r="B255" s="12">
        <v>9845</v>
      </c>
      <c r="C255" s="13" t="s">
        <v>80</v>
      </c>
      <c r="D255" s="12">
        <v>264</v>
      </c>
      <c r="E255" s="12">
        <v>264</v>
      </c>
      <c r="F255" s="12"/>
      <c r="G255" s="12"/>
      <c r="H255" s="12" t="s">
        <v>10</v>
      </c>
      <c r="I255" s="14"/>
    </row>
    <row r="256" spans="1:9">
      <c r="A256" s="8">
        <v>45921</v>
      </c>
      <c r="B256" s="12">
        <v>1653</v>
      </c>
      <c r="C256" s="13" t="s">
        <v>95</v>
      </c>
      <c r="D256" s="12">
        <v>476</v>
      </c>
      <c r="E256" s="12">
        <v>476</v>
      </c>
      <c r="F256" s="12"/>
      <c r="G256" s="12"/>
      <c r="H256" s="12" t="s">
        <v>10</v>
      </c>
      <c r="I256" s="14"/>
    </row>
    <row r="257" spans="1:9">
      <c r="A257" s="8">
        <v>45922</v>
      </c>
      <c r="B257" s="12">
        <v>909</v>
      </c>
      <c r="C257" s="13" t="s">
        <v>11</v>
      </c>
      <c r="D257" s="12">
        <v>810</v>
      </c>
      <c r="E257" s="12">
        <v>810</v>
      </c>
      <c r="F257" s="12"/>
      <c r="G257" s="12"/>
      <c r="H257" s="12" t="s">
        <v>10</v>
      </c>
      <c r="I257" s="14">
        <f>SUM(E257:E273)</f>
        <v>6859</v>
      </c>
    </row>
    <row r="258" spans="1:9">
      <c r="A258" s="8">
        <v>45922</v>
      </c>
      <c r="B258" s="12">
        <v>908</v>
      </c>
      <c r="C258" s="13" t="s">
        <v>23</v>
      </c>
      <c r="D258" s="12">
        <v>384</v>
      </c>
      <c r="E258" s="12">
        <v>384</v>
      </c>
      <c r="F258" s="12"/>
      <c r="G258" s="12"/>
      <c r="H258" s="12" t="s">
        <v>10</v>
      </c>
      <c r="I258" s="14"/>
    </row>
    <row r="259" spans="1:9">
      <c r="A259" s="8">
        <v>45922</v>
      </c>
      <c r="B259" s="12">
        <v>6639</v>
      </c>
      <c r="C259" s="13" t="s">
        <v>9</v>
      </c>
      <c r="D259" s="12">
        <v>472</v>
      </c>
      <c r="E259" s="12">
        <v>472</v>
      </c>
      <c r="F259" s="12"/>
      <c r="G259" s="12"/>
      <c r="H259" s="12" t="s">
        <v>10</v>
      </c>
      <c r="I259" s="14"/>
    </row>
    <row r="260" spans="1:9">
      <c r="A260" s="8">
        <v>45922</v>
      </c>
      <c r="B260" s="12">
        <v>632</v>
      </c>
      <c r="C260" s="13" t="s">
        <v>29</v>
      </c>
      <c r="D260" s="12">
        <v>472</v>
      </c>
      <c r="E260" s="12">
        <v>472</v>
      </c>
      <c r="F260" s="12"/>
      <c r="G260" s="12"/>
      <c r="H260" s="12" t="s">
        <v>10</v>
      </c>
      <c r="I260" s="14"/>
    </row>
    <row r="261" spans="1:9">
      <c r="A261" s="8">
        <v>45922</v>
      </c>
      <c r="B261" s="12">
        <v>1632</v>
      </c>
      <c r="C261" s="13" t="s">
        <v>78</v>
      </c>
      <c r="D261" s="12">
        <v>596</v>
      </c>
      <c r="E261" s="12">
        <v>596</v>
      </c>
      <c r="F261" s="12"/>
      <c r="G261" s="12"/>
      <c r="H261" s="12" t="s">
        <v>10</v>
      </c>
      <c r="I261" s="14"/>
    </row>
    <row r="262" spans="1:9">
      <c r="A262" s="8">
        <v>45922</v>
      </c>
      <c r="B262" s="12">
        <v>1625</v>
      </c>
      <c r="C262" s="13" t="s">
        <v>90</v>
      </c>
      <c r="D262" s="12">
        <v>440</v>
      </c>
      <c r="E262" s="12">
        <v>440</v>
      </c>
      <c r="F262" s="12"/>
      <c r="G262" s="12"/>
      <c r="H262" s="12" t="s">
        <v>10</v>
      </c>
      <c r="I262" s="14"/>
    </row>
    <row r="263" spans="1:9">
      <c r="A263" s="8">
        <v>45922</v>
      </c>
      <c r="B263" s="12">
        <v>1627</v>
      </c>
      <c r="C263" s="13" t="s">
        <v>79</v>
      </c>
      <c r="D263" s="12">
        <v>324</v>
      </c>
      <c r="E263" s="12">
        <v>324</v>
      </c>
      <c r="F263" s="12"/>
      <c r="G263" s="12"/>
      <c r="H263" s="12" t="s">
        <v>10</v>
      </c>
      <c r="I263" s="14"/>
    </row>
    <row r="264" spans="1:9">
      <c r="A264" s="8">
        <v>45922</v>
      </c>
      <c r="B264" s="12">
        <v>9627</v>
      </c>
      <c r="C264" s="13" t="s">
        <v>82</v>
      </c>
      <c r="D264" s="12">
        <v>20</v>
      </c>
      <c r="E264" s="12">
        <v>20</v>
      </c>
      <c r="F264" s="12"/>
      <c r="G264" s="12"/>
      <c r="H264" s="12" t="s">
        <v>10</v>
      </c>
      <c r="I264" s="14"/>
    </row>
    <row r="265" spans="1:9">
      <c r="A265" s="8">
        <v>45922</v>
      </c>
      <c r="B265" s="12">
        <v>9908</v>
      </c>
      <c r="C265" s="13" t="s">
        <v>89</v>
      </c>
      <c r="D265" s="12">
        <v>106</v>
      </c>
      <c r="E265" s="12">
        <v>106</v>
      </c>
      <c r="F265" s="12"/>
      <c r="G265" s="12"/>
      <c r="H265" s="12" t="s">
        <v>10</v>
      </c>
      <c r="I265" s="14"/>
    </row>
    <row r="266" spans="1:9">
      <c r="A266" s="8">
        <v>45922</v>
      </c>
      <c r="B266" s="12">
        <v>9909</v>
      </c>
      <c r="C266" s="13" t="s">
        <v>86</v>
      </c>
      <c r="D266" s="12">
        <v>58</v>
      </c>
      <c r="E266" s="12">
        <v>58</v>
      </c>
      <c r="F266" s="12"/>
      <c r="G266" s="12"/>
      <c r="H266" s="12" t="s">
        <v>10</v>
      </c>
      <c r="I266" s="14"/>
    </row>
    <row r="267" spans="1:9">
      <c r="A267" s="8">
        <v>45922</v>
      </c>
      <c r="B267" s="12">
        <v>1650</v>
      </c>
      <c r="C267" s="13" t="s">
        <v>84</v>
      </c>
      <c r="D267" s="12">
        <v>204</v>
      </c>
      <c r="E267" s="12">
        <v>204</v>
      </c>
      <c r="F267" s="12"/>
      <c r="G267" s="12"/>
      <c r="H267" s="12" t="s">
        <v>10</v>
      </c>
      <c r="I267" s="14"/>
    </row>
    <row r="268" spans="1:9">
      <c r="A268" s="8">
        <v>45922</v>
      </c>
      <c r="B268" s="12">
        <v>1909</v>
      </c>
      <c r="C268" s="13" t="s">
        <v>83</v>
      </c>
      <c r="D268" s="12">
        <v>756</v>
      </c>
      <c r="E268" s="12">
        <v>756</v>
      </c>
      <c r="F268" s="12"/>
      <c r="G268" s="12"/>
      <c r="H268" s="12" t="s">
        <v>10</v>
      </c>
      <c r="I268" s="14"/>
    </row>
    <row r="269" spans="1:9">
      <c r="A269" s="8">
        <v>45922</v>
      </c>
      <c r="B269" s="12">
        <v>1908</v>
      </c>
      <c r="C269" s="13" t="s">
        <v>77</v>
      </c>
      <c r="D269" s="12">
        <v>588</v>
      </c>
      <c r="E269" s="12">
        <v>588</v>
      </c>
      <c r="F269" s="12"/>
      <c r="G269" s="12"/>
      <c r="H269" s="12" t="s">
        <v>10</v>
      </c>
      <c r="I269" s="14"/>
    </row>
    <row r="270" spans="1:9">
      <c r="A270" s="8">
        <v>45922</v>
      </c>
      <c r="B270" s="12">
        <v>1845</v>
      </c>
      <c r="C270" s="13" t="s">
        <v>85</v>
      </c>
      <c r="D270" s="12">
        <v>756</v>
      </c>
      <c r="E270" s="12">
        <v>756</v>
      </c>
      <c r="F270" s="12"/>
      <c r="G270" s="12"/>
      <c r="H270" s="12" t="s">
        <v>10</v>
      </c>
      <c r="I270" s="14"/>
    </row>
    <row r="271" spans="1:9">
      <c r="A271" s="8">
        <v>45922</v>
      </c>
      <c r="B271" s="12">
        <v>627</v>
      </c>
      <c r="C271" s="13" t="s">
        <v>71</v>
      </c>
      <c r="D271" s="12">
        <v>291</v>
      </c>
      <c r="E271" s="12">
        <v>291</v>
      </c>
      <c r="F271" s="12"/>
      <c r="G271" s="12"/>
      <c r="H271" s="12" t="s">
        <v>10</v>
      </c>
      <c r="I271" s="14"/>
    </row>
    <row r="272" spans="1:9">
      <c r="A272" s="8">
        <v>45922</v>
      </c>
      <c r="B272" s="12">
        <v>981</v>
      </c>
      <c r="C272" s="13" t="s">
        <v>13</v>
      </c>
      <c r="D272" s="12">
        <v>291</v>
      </c>
      <c r="E272" s="12">
        <v>291</v>
      </c>
      <c r="F272" s="12"/>
      <c r="G272" s="12"/>
      <c r="H272" s="12" t="s">
        <v>10</v>
      </c>
      <c r="I272" s="14"/>
    </row>
    <row r="273" spans="1:9">
      <c r="A273" s="8">
        <v>45922</v>
      </c>
      <c r="B273" s="12">
        <v>625</v>
      </c>
      <c r="C273" s="13" t="s">
        <v>12</v>
      </c>
      <c r="D273" s="12">
        <v>291</v>
      </c>
      <c r="E273" s="12">
        <v>291</v>
      </c>
      <c r="F273" s="12"/>
      <c r="G273" s="12"/>
      <c r="H273" s="12" t="s">
        <v>10</v>
      </c>
      <c r="I273" s="14"/>
    </row>
    <row r="274" spans="1:9">
      <c r="A274" s="8">
        <v>45923</v>
      </c>
      <c r="B274" s="12">
        <v>653</v>
      </c>
      <c r="C274" s="13" t="s">
        <v>74</v>
      </c>
      <c r="D274" s="12">
        <v>468</v>
      </c>
      <c r="E274" s="12">
        <v>468</v>
      </c>
      <c r="F274" s="12"/>
      <c r="G274" s="12"/>
      <c r="H274" s="12" t="s">
        <v>10</v>
      </c>
      <c r="I274" s="14">
        <f>SUM(E274:E281)</f>
        <v>5566</v>
      </c>
    </row>
    <row r="275" spans="1:9">
      <c r="A275" s="8">
        <v>45923</v>
      </c>
      <c r="B275" s="12">
        <v>9845</v>
      </c>
      <c r="C275" s="13" t="s">
        <v>80</v>
      </c>
      <c r="D275" s="12">
        <v>324</v>
      </c>
      <c r="E275" s="12">
        <v>324</v>
      </c>
      <c r="F275" s="12"/>
      <c r="G275" s="12"/>
      <c r="H275" s="12" t="s">
        <v>10</v>
      </c>
      <c r="I275" s="14"/>
    </row>
    <row r="276" spans="1:9">
      <c r="A276" s="8">
        <v>45923</v>
      </c>
      <c r="B276" s="12">
        <v>9632</v>
      </c>
      <c r="C276" s="13" t="s">
        <v>75</v>
      </c>
      <c r="D276" s="12">
        <v>84</v>
      </c>
      <c r="E276" s="12">
        <v>84</v>
      </c>
      <c r="F276" s="12"/>
      <c r="G276" s="12"/>
      <c r="H276" s="12" t="s">
        <v>10</v>
      </c>
      <c r="I276" s="14"/>
    </row>
    <row r="277" spans="1:9">
      <c r="A277" s="8">
        <v>45923</v>
      </c>
      <c r="B277" s="12">
        <v>1639</v>
      </c>
      <c r="C277" s="13" t="s">
        <v>88</v>
      </c>
      <c r="D277" s="12">
        <v>994</v>
      </c>
      <c r="E277" s="12">
        <v>994</v>
      </c>
      <c r="F277" s="12"/>
      <c r="G277" s="12"/>
      <c r="H277" s="12" t="s">
        <v>10</v>
      </c>
      <c r="I277" s="14"/>
    </row>
    <row r="278" spans="1:9">
      <c r="A278" s="8">
        <v>45923</v>
      </c>
      <c r="B278" s="12">
        <v>1632</v>
      </c>
      <c r="C278" s="13" t="s">
        <v>78</v>
      </c>
      <c r="D278" s="12">
        <v>878</v>
      </c>
      <c r="E278" s="12">
        <v>878</v>
      </c>
      <c r="F278" s="12"/>
      <c r="G278" s="12"/>
      <c r="H278" s="12" t="s">
        <v>10</v>
      </c>
      <c r="I278" s="14"/>
    </row>
    <row r="279" spans="1:9">
      <c r="A279" s="8">
        <v>45923</v>
      </c>
      <c r="B279" s="12">
        <v>1909</v>
      </c>
      <c r="C279" s="13" t="s">
        <v>83</v>
      </c>
      <c r="D279" s="12">
        <v>1302</v>
      </c>
      <c r="E279" s="12">
        <v>1302</v>
      </c>
      <c r="F279" s="12"/>
      <c r="G279" s="12"/>
      <c r="H279" s="12" t="s">
        <v>10</v>
      </c>
      <c r="I279" s="14"/>
    </row>
    <row r="280" spans="1:9">
      <c r="A280" s="8">
        <v>45923</v>
      </c>
      <c r="B280" s="12">
        <v>1908</v>
      </c>
      <c r="C280" s="13" t="s">
        <v>77</v>
      </c>
      <c r="D280" s="12">
        <v>720</v>
      </c>
      <c r="E280" s="12">
        <v>720</v>
      </c>
      <c r="F280" s="12"/>
      <c r="G280" s="12"/>
      <c r="H280" s="12" t="s">
        <v>10</v>
      </c>
      <c r="I280" s="14"/>
    </row>
    <row r="281" spans="1:9">
      <c r="A281" s="8">
        <v>45923</v>
      </c>
      <c r="B281" s="12">
        <v>1845</v>
      </c>
      <c r="C281" s="13" t="s">
        <v>85</v>
      </c>
      <c r="D281" s="12">
        <v>796</v>
      </c>
      <c r="E281" s="12">
        <v>796</v>
      </c>
      <c r="F281" s="12"/>
      <c r="G281" s="12"/>
      <c r="H281" s="12" t="s">
        <v>10</v>
      </c>
      <c r="I281" s="14"/>
    </row>
    <row r="282" spans="1:9">
      <c r="A282" s="8">
        <v>45924</v>
      </c>
      <c r="B282" s="12">
        <v>846</v>
      </c>
      <c r="C282" s="13" t="s">
        <v>76</v>
      </c>
      <c r="D282" s="12">
        <v>680</v>
      </c>
      <c r="E282" s="12">
        <v>680</v>
      </c>
      <c r="F282" s="12"/>
      <c r="G282" s="12"/>
      <c r="H282" s="12" t="s">
        <v>10</v>
      </c>
      <c r="I282" s="14">
        <f>SUM(E282:E292)</f>
        <v>5983</v>
      </c>
    </row>
    <row r="283" spans="1:9">
      <c r="A283" s="8">
        <v>45924</v>
      </c>
      <c r="B283" s="12">
        <v>653</v>
      </c>
      <c r="C283" s="13" t="s">
        <v>74</v>
      </c>
      <c r="D283" s="12">
        <v>680</v>
      </c>
      <c r="E283" s="12">
        <v>680</v>
      </c>
      <c r="F283" s="12"/>
      <c r="G283" s="12"/>
      <c r="H283" s="12" t="s">
        <v>10</v>
      </c>
      <c r="I283" s="14"/>
    </row>
    <row r="284" spans="1:9">
      <c r="A284" s="8">
        <v>45924</v>
      </c>
      <c r="B284" s="12">
        <v>1632</v>
      </c>
      <c r="C284" s="13" t="s">
        <v>78</v>
      </c>
      <c r="D284" s="12">
        <v>936</v>
      </c>
      <c r="E284" s="12">
        <v>936</v>
      </c>
      <c r="F284" s="12"/>
      <c r="G284" s="12"/>
      <c r="H284" s="12" t="s">
        <v>10</v>
      </c>
      <c r="I284" s="14"/>
    </row>
    <row r="285" spans="1:9">
      <c r="A285" s="8">
        <v>45924</v>
      </c>
      <c r="B285" s="12">
        <v>1625</v>
      </c>
      <c r="C285" s="13" t="s">
        <v>90</v>
      </c>
      <c r="D285" s="12">
        <v>768</v>
      </c>
      <c r="E285" s="12">
        <v>768</v>
      </c>
      <c r="F285" s="12"/>
      <c r="G285" s="12"/>
      <c r="H285" s="12" t="s">
        <v>10</v>
      </c>
      <c r="I285" s="14"/>
    </row>
    <row r="286" spans="1:9">
      <c r="A286" s="8">
        <v>45924</v>
      </c>
      <c r="B286" s="12">
        <v>1639</v>
      </c>
      <c r="C286" s="13" t="s">
        <v>88</v>
      </c>
      <c r="D286" s="12">
        <v>930</v>
      </c>
      <c r="E286" s="12">
        <v>930</v>
      </c>
      <c r="F286" s="12"/>
      <c r="G286" s="12"/>
      <c r="H286" s="12" t="s">
        <v>10</v>
      </c>
      <c r="I286" s="14"/>
    </row>
    <row r="287" spans="1:9">
      <c r="A287" s="8">
        <v>45924</v>
      </c>
      <c r="B287" s="12">
        <v>1845</v>
      </c>
      <c r="C287" s="13" t="s">
        <v>85</v>
      </c>
      <c r="D287" s="12">
        <v>858</v>
      </c>
      <c r="E287" s="12">
        <v>858</v>
      </c>
      <c r="F287" s="12"/>
      <c r="G287" s="12"/>
      <c r="H287" s="12" t="s">
        <v>10</v>
      </c>
      <c r="I287" s="14"/>
    </row>
    <row r="288" spans="1:9">
      <c r="A288" s="8">
        <v>45924</v>
      </c>
      <c r="B288" s="12">
        <v>1656</v>
      </c>
      <c r="C288" s="13" t="s">
        <v>91</v>
      </c>
      <c r="D288" s="12">
        <v>270</v>
      </c>
      <c r="E288" s="12">
        <v>270</v>
      </c>
      <c r="F288" s="12"/>
      <c r="G288" s="12"/>
      <c r="H288" s="12" t="s">
        <v>10</v>
      </c>
      <c r="I288" s="14"/>
    </row>
    <row r="289" spans="1:9">
      <c r="A289" s="8">
        <v>45924</v>
      </c>
      <c r="B289" s="12">
        <v>1650</v>
      </c>
      <c r="C289" s="13" t="s">
        <v>84</v>
      </c>
      <c r="D289" s="12">
        <v>288</v>
      </c>
      <c r="E289" s="12">
        <v>288</v>
      </c>
      <c r="F289" s="12"/>
      <c r="G289" s="12"/>
      <c r="H289" s="12" t="s">
        <v>10</v>
      </c>
      <c r="I289" s="14"/>
    </row>
    <row r="290" spans="1:9">
      <c r="A290" s="8">
        <v>45924</v>
      </c>
      <c r="B290" s="12">
        <v>1652</v>
      </c>
      <c r="C290" s="13" t="s">
        <v>104</v>
      </c>
      <c r="D290" s="12">
        <v>138</v>
      </c>
      <c r="E290" s="12">
        <v>138</v>
      </c>
      <c r="F290" s="12"/>
      <c r="G290" s="12"/>
      <c r="H290" s="12" t="s">
        <v>10</v>
      </c>
      <c r="I290" s="14"/>
    </row>
    <row r="291" spans="1:9">
      <c r="A291" s="8">
        <v>45924</v>
      </c>
      <c r="B291" s="12">
        <v>1627</v>
      </c>
      <c r="C291" s="13" t="s">
        <v>79</v>
      </c>
      <c r="D291" s="12">
        <v>336</v>
      </c>
      <c r="E291" s="12">
        <v>336</v>
      </c>
      <c r="F291" s="12"/>
      <c r="G291" s="12"/>
      <c r="H291" s="12" t="s">
        <v>10</v>
      </c>
      <c r="I291" s="14"/>
    </row>
    <row r="292" spans="1:9">
      <c r="A292" s="8">
        <v>45924</v>
      </c>
      <c r="B292" s="12">
        <v>1653</v>
      </c>
      <c r="C292" s="13" t="s">
        <v>95</v>
      </c>
      <c r="D292" s="12">
        <v>99</v>
      </c>
      <c r="E292" s="12">
        <v>99</v>
      </c>
      <c r="F292" s="12"/>
      <c r="G292" s="12"/>
      <c r="H292" s="12" t="s">
        <v>10</v>
      </c>
      <c r="I292" s="14"/>
    </row>
    <row r="293" spans="1:9">
      <c r="A293" s="8">
        <v>45925</v>
      </c>
      <c r="B293" s="12">
        <v>653</v>
      </c>
      <c r="C293" s="13" t="s">
        <v>74</v>
      </c>
      <c r="D293" s="12">
        <v>498</v>
      </c>
      <c r="E293" s="12">
        <v>498</v>
      </c>
      <c r="F293" s="12"/>
      <c r="G293" s="12"/>
      <c r="H293" s="12" t="s">
        <v>10</v>
      </c>
      <c r="I293" s="14">
        <f>SUM(E293:E302)</f>
        <v>5358</v>
      </c>
    </row>
    <row r="294" spans="1:9">
      <c r="A294" s="8">
        <v>45925</v>
      </c>
      <c r="B294" s="12">
        <v>656</v>
      </c>
      <c r="C294" s="13" t="s">
        <v>73</v>
      </c>
      <c r="D294" s="12">
        <v>249</v>
      </c>
      <c r="E294" s="12">
        <v>249</v>
      </c>
      <c r="F294" s="12"/>
      <c r="G294" s="12"/>
      <c r="H294" s="12" t="s">
        <v>10</v>
      </c>
      <c r="I294" s="14"/>
    </row>
    <row r="295" spans="1:9">
      <c r="A295" s="8">
        <v>45925</v>
      </c>
      <c r="B295" s="12">
        <v>1632</v>
      </c>
      <c r="C295" s="13" t="s">
        <v>78</v>
      </c>
      <c r="D295" s="12">
        <v>986</v>
      </c>
      <c r="E295" s="12">
        <v>986</v>
      </c>
      <c r="F295" s="12"/>
      <c r="G295" s="12"/>
      <c r="H295" s="12" t="s">
        <v>10</v>
      </c>
      <c r="I295" s="14"/>
    </row>
    <row r="296" spans="1:9">
      <c r="A296" s="8">
        <v>45925</v>
      </c>
      <c r="B296" s="12">
        <v>1651</v>
      </c>
      <c r="C296" s="13" t="s">
        <v>103</v>
      </c>
      <c r="D296" s="12">
        <v>148</v>
      </c>
      <c r="E296" s="12">
        <v>148</v>
      </c>
      <c r="F296" s="12"/>
      <c r="G296" s="12"/>
      <c r="H296" s="12" t="s">
        <v>10</v>
      </c>
      <c r="I296" s="14"/>
    </row>
    <row r="297" spans="1:9">
      <c r="A297" s="8">
        <v>45925</v>
      </c>
      <c r="B297" s="12">
        <v>1861</v>
      </c>
      <c r="C297" s="13" t="s">
        <v>14</v>
      </c>
      <c r="D297" s="12">
        <v>744</v>
      </c>
      <c r="E297" s="12">
        <v>744</v>
      </c>
      <c r="F297" s="12"/>
      <c r="G297" s="12"/>
      <c r="H297" s="12" t="s">
        <v>10</v>
      </c>
      <c r="I297" s="14"/>
    </row>
    <row r="298" spans="1:9">
      <c r="A298" s="8">
        <v>45925</v>
      </c>
      <c r="B298" s="12">
        <v>8839</v>
      </c>
      <c r="C298" s="13" t="s">
        <v>20</v>
      </c>
      <c r="D298" s="12">
        <v>485</v>
      </c>
      <c r="E298" s="12">
        <v>485</v>
      </c>
      <c r="F298" s="12"/>
      <c r="G298" s="12"/>
      <c r="H298" s="12" t="s">
        <v>10</v>
      </c>
      <c r="I298" s="14"/>
    </row>
    <row r="299" spans="1:9">
      <c r="A299" s="8">
        <v>45925</v>
      </c>
      <c r="B299" s="12">
        <v>1845</v>
      </c>
      <c r="C299" s="13" t="s">
        <v>85</v>
      </c>
      <c r="D299" s="12">
        <v>760</v>
      </c>
      <c r="E299" s="12">
        <v>760</v>
      </c>
      <c r="F299" s="12"/>
      <c r="G299" s="12"/>
      <c r="H299" s="12" t="s">
        <v>10</v>
      </c>
      <c r="I299" s="14"/>
    </row>
    <row r="300" spans="1:9">
      <c r="A300" s="8">
        <v>45925</v>
      </c>
      <c r="B300" s="12">
        <v>1909</v>
      </c>
      <c r="C300" s="13" t="s">
        <v>83</v>
      </c>
      <c r="D300" s="12">
        <v>744</v>
      </c>
      <c r="E300" s="12">
        <v>744</v>
      </c>
      <c r="F300" s="12"/>
      <c r="G300" s="12"/>
      <c r="H300" s="12" t="s">
        <v>10</v>
      </c>
      <c r="I300" s="14"/>
    </row>
    <row r="301" spans="1:9">
      <c r="A301" s="8">
        <v>45925</v>
      </c>
      <c r="B301" s="12">
        <v>1908</v>
      </c>
      <c r="C301" s="13" t="s">
        <v>77</v>
      </c>
      <c r="D301" s="12">
        <v>362</v>
      </c>
      <c r="E301" s="12">
        <v>362</v>
      </c>
      <c r="F301" s="12"/>
      <c r="G301" s="12"/>
      <c r="H301" s="12" t="s">
        <v>10</v>
      </c>
      <c r="I301" s="14"/>
    </row>
    <row r="302" spans="1:9">
      <c r="A302" s="8">
        <v>45925</v>
      </c>
      <c r="B302" s="12">
        <v>1845</v>
      </c>
      <c r="C302" s="13" t="s">
        <v>85</v>
      </c>
      <c r="D302" s="12">
        <v>382</v>
      </c>
      <c r="E302" s="12">
        <v>382</v>
      </c>
      <c r="F302" s="12"/>
      <c r="G302" s="12"/>
      <c r="H302" s="12" t="s">
        <v>10</v>
      </c>
      <c r="I302" s="14"/>
    </row>
    <row r="303" spans="1:9">
      <c r="A303" s="8">
        <v>45926</v>
      </c>
      <c r="B303" s="12">
        <v>1909</v>
      </c>
      <c r="C303" s="13" t="s">
        <v>83</v>
      </c>
      <c r="D303" s="12">
        <v>1320</v>
      </c>
      <c r="E303" s="12">
        <v>1320</v>
      </c>
      <c r="F303" s="12"/>
      <c r="G303" s="12"/>
      <c r="H303" s="12" t="s">
        <v>10</v>
      </c>
      <c r="I303" s="14">
        <f>SUM(E303:E313)</f>
        <v>6906</v>
      </c>
    </row>
    <row r="304" spans="1:9">
      <c r="A304" s="8">
        <v>45926</v>
      </c>
      <c r="B304" s="12">
        <v>9845</v>
      </c>
      <c r="C304" s="13" t="s">
        <v>80</v>
      </c>
      <c r="D304" s="12">
        <v>300</v>
      </c>
      <c r="E304" s="12">
        <v>300</v>
      </c>
      <c r="F304" s="12"/>
      <c r="G304" s="12"/>
      <c r="H304" s="12" t="s">
        <v>10</v>
      </c>
      <c r="I304" s="14"/>
    </row>
    <row r="305" spans="1:9">
      <c r="A305" s="8">
        <v>45926</v>
      </c>
      <c r="B305" s="12">
        <v>9909</v>
      </c>
      <c r="C305" s="13" t="s">
        <v>86</v>
      </c>
      <c r="D305" s="12">
        <v>181</v>
      </c>
      <c r="E305" s="12">
        <v>181</v>
      </c>
      <c r="F305" s="12"/>
      <c r="G305" s="12"/>
      <c r="H305" s="12" t="s">
        <v>10</v>
      </c>
      <c r="I305" s="14"/>
    </row>
    <row r="306" spans="1:9">
      <c r="A306" s="8">
        <v>45926</v>
      </c>
      <c r="B306" s="12">
        <v>9908</v>
      </c>
      <c r="C306" s="13" t="s">
        <v>89</v>
      </c>
      <c r="D306" s="12">
        <v>45</v>
      </c>
      <c r="E306" s="12">
        <v>45</v>
      </c>
      <c r="F306" s="12"/>
      <c r="G306" s="12"/>
      <c r="H306" s="12" t="s">
        <v>10</v>
      </c>
      <c r="I306" s="14"/>
    </row>
    <row r="307" spans="1:9">
      <c r="A307" s="8">
        <v>45926</v>
      </c>
      <c r="B307" s="12">
        <v>9632</v>
      </c>
      <c r="C307" s="13" t="s">
        <v>75</v>
      </c>
      <c r="D307" s="12">
        <v>260</v>
      </c>
      <c r="E307" s="12">
        <v>260</v>
      </c>
      <c r="F307" s="12"/>
      <c r="G307" s="12"/>
      <c r="H307" s="12" t="s">
        <v>10</v>
      </c>
      <c r="I307" s="14"/>
    </row>
    <row r="308" spans="1:9">
      <c r="A308" s="8">
        <v>45926</v>
      </c>
      <c r="B308" s="12">
        <v>9625</v>
      </c>
      <c r="C308" s="13" t="s">
        <v>81</v>
      </c>
      <c r="D308" s="12">
        <v>120</v>
      </c>
      <c r="E308" s="12">
        <v>120</v>
      </c>
      <c r="F308" s="12"/>
      <c r="G308" s="12"/>
      <c r="H308" s="12" t="s">
        <v>10</v>
      </c>
      <c r="I308" s="14"/>
    </row>
    <row r="309" spans="1:9">
      <c r="A309" s="8">
        <v>45926</v>
      </c>
      <c r="B309" s="12">
        <v>1653</v>
      </c>
      <c r="C309" s="13" t="s">
        <v>95</v>
      </c>
      <c r="D309" s="12">
        <v>960</v>
      </c>
      <c r="E309" s="12">
        <v>960</v>
      </c>
      <c r="F309" s="12"/>
      <c r="G309" s="12"/>
      <c r="H309" s="12" t="s">
        <v>10</v>
      </c>
      <c r="I309" s="14"/>
    </row>
    <row r="310" spans="1:9">
      <c r="A310" s="8">
        <v>45926</v>
      </c>
      <c r="B310" s="12">
        <v>1908</v>
      </c>
      <c r="C310" s="13" t="s">
        <v>77</v>
      </c>
      <c r="D310" s="12">
        <v>690</v>
      </c>
      <c r="E310" s="12">
        <v>690</v>
      </c>
      <c r="F310" s="12"/>
      <c r="G310" s="12"/>
      <c r="H310" s="12" t="s">
        <v>10</v>
      </c>
      <c r="I310" s="14"/>
    </row>
    <row r="311" spans="1:9">
      <c r="A311" s="8">
        <v>45926</v>
      </c>
      <c r="B311" s="12">
        <v>1845</v>
      </c>
      <c r="C311" s="13" t="s">
        <v>85</v>
      </c>
      <c r="D311" s="12">
        <v>1014</v>
      </c>
      <c r="E311" s="12">
        <v>1014</v>
      </c>
      <c r="F311" s="12"/>
      <c r="G311" s="12"/>
      <c r="H311" s="12" t="s">
        <v>10</v>
      </c>
      <c r="I311" s="14"/>
    </row>
    <row r="312" spans="1:9">
      <c r="A312" s="8">
        <v>45926</v>
      </c>
      <c r="B312" s="12">
        <v>1632</v>
      </c>
      <c r="C312" s="13" t="s">
        <v>78</v>
      </c>
      <c r="D312" s="12">
        <v>1014</v>
      </c>
      <c r="E312" s="12">
        <v>1014</v>
      </c>
      <c r="F312" s="12"/>
      <c r="G312" s="12"/>
      <c r="H312" s="12" t="s">
        <v>10</v>
      </c>
      <c r="I312" s="14"/>
    </row>
    <row r="313" spans="1:9">
      <c r="A313" s="8">
        <v>45926</v>
      </c>
      <c r="B313" s="12">
        <v>1639</v>
      </c>
      <c r="C313" s="13" t="s">
        <v>88</v>
      </c>
      <c r="D313" s="12">
        <v>1002</v>
      </c>
      <c r="E313" s="12">
        <v>1002</v>
      </c>
      <c r="F313" s="12"/>
      <c r="G313" s="12"/>
      <c r="H313" s="12" t="s">
        <v>10</v>
      </c>
      <c r="I313" s="14"/>
    </row>
    <row r="314" spans="1:9">
      <c r="A314" s="8">
        <v>45927</v>
      </c>
      <c r="B314" s="12">
        <v>845</v>
      </c>
      <c r="C314" s="13" t="s">
        <v>24</v>
      </c>
      <c r="D314" s="12">
        <v>274</v>
      </c>
      <c r="E314" s="12">
        <v>274</v>
      </c>
      <c r="F314" s="12"/>
      <c r="G314" s="12"/>
      <c r="H314" s="12" t="s">
        <v>10</v>
      </c>
      <c r="I314" s="14">
        <f>SUM(E314:E326)</f>
        <v>5271</v>
      </c>
    </row>
    <row r="315" spans="1:9">
      <c r="A315" s="8">
        <v>45927</v>
      </c>
      <c r="B315" s="12">
        <v>632</v>
      </c>
      <c r="C315" s="13" t="s">
        <v>29</v>
      </c>
      <c r="D315" s="12">
        <v>274</v>
      </c>
      <c r="E315" s="12">
        <v>274</v>
      </c>
      <c r="F315" s="12"/>
      <c r="G315" s="12"/>
      <c r="H315" s="12" t="s">
        <v>10</v>
      </c>
      <c r="I315" s="14"/>
    </row>
    <row r="316" spans="1:9">
      <c r="A316" s="8">
        <v>45927</v>
      </c>
      <c r="B316" s="12">
        <v>908</v>
      </c>
      <c r="C316" s="13" t="s">
        <v>23</v>
      </c>
      <c r="D316" s="12">
        <v>274</v>
      </c>
      <c r="E316" s="12">
        <v>274</v>
      </c>
      <c r="F316" s="12"/>
      <c r="G316" s="12"/>
      <c r="H316" s="12" t="s">
        <v>10</v>
      </c>
      <c r="I316" s="14"/>
    </row>
    <row r="317" spans="1:9">
      <c r="A317" s="8">
        <v>45927</v>
      </c>
      <c r="B317" s="12">
        <v>909</v>
      </c>
      <c r="C317" s="13" t="s">
        <v>11</v>
      </c>
      <c r="D317" s="12">
        <v>274</v>
      </c>
      <c r="E317" s="12">
        <v>274</v>
      </c>
      <c r="F317" s="12"/>
      <c r="G317" s="12"/>
      <c r="H317" s="12" t="s">
        <v>10</v>
      </c>
      <c r="I317" s="14"/>
    </row>
    <row r="318" spans="1:9">
      <c r="A318" s="8">
        <v>45927</v>
      </c>
      <c r="B318" s="12">
        <v>1845</v>
      </c>
      <c r="C318" s="13" t="s">
        <v>85</v>
      </c>
      <c r="D318" s="12">
        <v>168</v>
      </c>
      <c r="E318" s="12">
        <v>168</v>
      </c>
      <c r="F318" s="12"/>
      <c r="G318" s="12"/>
      <c r="H318" s="12" t="s">
        <v>10</v>
      </c>
      <c r="I318" s="14"/>
    </row>
    <row r="319" spans="1:9">
      <c r="A319" s="8">
        <v>45927</v>
      </c>
      <c r="B319" s="12">
        <v>1656</v>
      </c>
      <c r="C319" s="13" t="s">
        <v>91</v>
      </c>
      <c r="D319" s="12">
        <v>14</v>
      </c>
      <c r="E319" s="12">
        <v>14</v>
      </c>
      <c r="F319" s="12"/>
      <c r="G319" s="12"/>
      <c r="H319" s="12" t="s">
        <v>10</v>
      </c>
      <c r="I319" s="14"/>
    </row>
    <row r="320" spans="1:9">
      <c r="A320" s="8">
        <v>45927</v>
      </c>
      <c r="B320" s="12">
        <v>845</v>
      </c>
      <c r="C320" s="13" t="s">
        <v>24</v>
      </c>
      <c r="D320" s="12">
        <v>342</v>
      </c>
      <c r="E320" s="12">
        <v>342</v>
      </c>
      <c r="F320" s="12"/>
      <c r="G320" s="12"/>
      <c r="H320" s="12" t="s">
        <v>10</v>
      </c>
      <c r="I320" s="14"/>
    </row>
    <row r="321" spans="1:9">
      <c r="A321" s="8">
        <v>45927</v>
      </c>
      <c r="B321" s="12">
        <v>632</v>
      </c>
      <c r="C321" s="13" t="s">
        <v>29</v>
      </c>
      <c r="D321" s="12">
        <v>342</v>
      </c>
      <c r="E321" s="12">
        <v>342</v>
      </c>
      <c r="F321" s="12"/>
      <c r="G321" s="12"/>
      <c r="H321" s="12" t="s">
        <v>10</v>
      </c>
      <c r="I321" s="14"/>
    </row>
    <row r="322" spans="1:9">
      <c r="A322" s="8">
        <v>45927</v>
      </c>
      <c r="B322" s="12">
        <v>908</v>
      </c>
      <c r="C322" s="13" t="s">
        <v>23</v>
      </c>
      <c r="D322" s="12">
        <v>342</v>
      </c>
      <c r="E322" s="12">
        <v>342</v>
      </c>
      <c r="F322" s="12"/>
      <c r="G322" s="12"/>
      <c r="H322" s="12" t="s">
        <v>10</v>
      </c>
      <c r="I322" s="14"/>
    </row>
    <row r="323" spans="1:9">
      <c r="A323" s="8">
        <v>45927</v>
      </c>
      <c r="B323" s="12">
        <v>909</v>
      </c>
      <c r="C323" s="13" t="s">
        <v>11</v>
      </c>
      <c r="D323" s="12">
        <v>342</v>
      </c>
      <c r="E323" s="12">
        <v>342</v>
      </c>
      <c r="F323" s="12"/>
      <c r="G323" s="12"/>
      <c r="H323" s="12" t="s">
        <v>10</v>
      </c>
      <c r="I323" s="14"/>
    </row>
    <row r="324" spans="1:9">
      <c r="A324" s="8">
        <v>45927</v>
      </c>
      <c r="B324" s="12">
        <v>1625</v>
      </c>
      <c r="C324" s="13" t="s">
        <v>90</v>
      </c>
      <c r="D324" s="12">
        <v>1260</v>
      </c>
      <c r="E324" s="12">
        <v>1260</v>
      </c>
      <c r="F324" s="12"/>
      <c r="G324" s="12"/>
      <c r="H324" s="12" t="s">
        <v>10</v>
      </c>
      <c r="I324" s="14"/>
    </row>
    <row r="325" spans="1:9">
      <c r="A325" s="8">
        <v>45927</v>
      </c>
      <c r="B325" s="12">
        <v>1627</v>
      </c>
      <c r="C325" s="13" t="s">
        <v>79</v>
      </c>
      <c r="D325" s="12">
        <v>735</v>
      </c>
      <c r="E325" s="12">
        <v>735</v>
      </c>
      <c r="F325" s="12"/>
      <c r="G325" s="12"/>
      <c r="H325" s="12" t="s">
        <v>10</v>
      </c>
      <c r="I325" s="14"/>
    </row>
    <row r="326" spans="1:9">
      <c r="A326" s="8">
        <v>45927</v>
      </c>
      <c r="B326" s="15">
        <v>625</v>
      </c>
      <c r="C326" s="16" t="s">
        <v>12</v>
      </c>
      <c r="D326" s="15">
        <v>630</v>
      </c>
      <c r="E326" s="15">
        <v>630</v>
      </c>
      <c r="F326" s="15"/>
      <c r="G326" s="15"/>
      <c r="H326" s="15" t="s">
        <v>10</v>
      </c>
      <c r="I326" s="17"/>
    </row>
    <row r="327" spans="1:9">
      <c r="A327" s="8">
        <v>45928</v>
      </c>
      <c r="B327" s="1">
        <v>1845</v>
      </c>
      <c r="C327" s="18" t="s">
        <v>85</v>
      </c>
      <c r="D327" s="1">
        <v>230</v>
      </c>
      <c r="E327" s="1">
        <v>230</v>
      </c>
      <c r="H327" s="15" t="s">
        <v>10</v>
      </c>
      <c r="I327" s="19">
        <f>SUM(E327:E342)</f>
        <v>6204</v>
      </c>
    </row>
    <row r="328" spans="1:9">
      <c r="A328" s="8">
        <v>45928</v>
      </c>
      <c r="B328" s="1">
        <v>1909</v>
      </c>
      <c r="C328" s="18" t="s">
        <v>83</v>
      </c>
      <c r="D328" s="1">
        <v>230</v>
      </c>
      <c r="E328" s="1">
        <v>230</v>
      </c>
      <c r="H328" s="15" t="s">
        <v>10</v>
      </c>
      <c r="I328" s="19"/>
    </row>
    <row r="329" spans="1:9">
      <c r="A329" s="8">
        <v>45928</v>
      </c>
      <c r="B329" s="1">
        <v>1909</v>
      </c>
      <c r="C329" s="18" t="s">
        <v>83</v>
      </c>
      <c r="D329" s="1">
        <v>230</v>
      </c>
      <c r="E329" s="1">
        <v>230</v>
      </c>
      <c r="H329" s="15" t="s">
        <v>10</v>
      </c>
      <c r="I329" s="19"/>
    </row>
    <row r="330" spans="1:9">
      <c r="A330" s="8">
        <v>45928</v>
      </c>
      <c r="B330" s="1">
        <v>1908</v>
      </c>
      <c r="C330" s="18" t="s">
        <v>77</v>
      </c>
      <c r="D330" s="1">
        <v>230</v>
      </c>
      <c r="E330" s="1">
        <v>230</v>
      </c>
      <c r="H330" s="15" t="s">
        <v>10</v>
      </c>
      <c r="I330" s="19"/>
    </row>
    <row r="331" spans="1:9">
      <c r="A331" s="8">
        <v>45928</v>
      </c>
      <c r="B331" s="1">
        <v>1845</v>
      </c>
      <c r="C331" s="18" t="s">
        <v>85</v>
      </c>
      <c r="D331" s="1">
        <v>564</v>
      </c>
      <c r="E331" s="1">
        <v>564</v>
      </c>
      <c r="H331" s="15" t="s">
        <v>10</v>
      </c>
      <c r="I331" s="19"/>
    </row>
    <row r="332" spans="1:9">
      <c r="A332" s="8">
        <v>45928</v>
      </c>
      <c r="B332" s="1">
        <v>1909</v>
      </c>
      <c r="C332" s="18" t="s">
        <v>83</v>
      </c>
      <c r="D332" s="1">
        <v>606</v>
      </c>
      <c r="E332" s="1">
        <v>606</v>
      </c>
      <c r="H332" s="15" t="s">
        <v>10</v>
      </c>
      <c r="I332" s="19"/>
    </row>
    <row r="333" spans="1:9">
      <c r="A333" s="8">
        <v>45928</v>
      </c>
      <c r="B333" s="1">
        <v>1908</v>
      </c>
      <c r="C333" s="18" t="s">
        <v>77</v>
      </c>
      <c r="D333" s="1">
        <v>438</v>
      </c>
      <c r="E333" s="1">
        <v>438</v>
      </c>
      <c r="H333" s="15" t="s">
        <v>10</v>
      </c>
      <c r="I333" s="19"/>
    </row>
    <row r="334" spans="1:9">
      <c r="A334" s="8">
        <v>45928</v>
      </c>
      <c r="B334" s="1">
        <v>653</v>
      </c>
      <c r="C334" s="18" t="s">
        <v>74</v>
      </c>
      <c r="D334" s="1">
        <v>264</v>
      </c>
      <c r="E334" s="1">
        <v>264</v>
      </c>
      <c r="H334" s="15" t="s">
        <v>10</v>
      </c>
      <c r="I334" s="19"/>
    </row>
    <row r="335" spans="1:9">
      <c r="A335" s="8">
        <v>45928</v>
      </c>
      <c r="B335" s="1">
        <v>981</v>
      </c>
      <c r="C335" s="18" t="s">
        <v>13</v>
      </c>
      <c r="D335" s="1">
        <v>492</v>
      </c>
      <c r="E335" s="1">
        <v>492</v>
      </c>
      <c r="H335" s="15" t="s">
        <v>10</v>
      </c>
      <c r="I335" s="19"/>
    </row>
    <row r="336" spans="1:9">
      <c r="A336" s="8">
        <v>45928</v>
      </c>
      <c r="B336" s="1">
        <v>656</v>
      </c>
      <c r="C336" s="18" t="s">
        <v>73</v>
      </c>
      <c r="D336" s="1">
        <v>492</v>
      </c>
      <c r="E336" s="1">
        <v>492</v>
      </c>
      <c r="H336" s="15" t="s">
        <v>10</v>
      </c>
      <c r="I336" s="19"/>
    </row>
    <row r="337" spans="1:9">
      <c r="A337" s="8">
        <v>45928</v>
      </c>
      <c r="B337" s="1">
        <v>627</v>
      </c>
      <c r="C337" s="18" t="s">
        <v>71</v>
      </c>
      <c r="D337" s="1">
        <v>388</v>
      </c>
      <c r="E337" s="1">
        <v>388</v>
      </c>
      <c r="H337" s="15" t="s">
        <v>10</v>
      </c>
      <c r="I337" s="19"/>
    </row>
    <row r="338" spans="1:9">
      <c r="A338" s="8">
        <v>45928</v>
      </c>
      <c r="B338" s="1">
        <v>632</v>
      </c>
      <c r="C338" s="18" t="s">
        <v>29</v>
      </c>
      <c r="D338" s="1">
        <v>324</v>
      </c>
      <c r="E338" s="1">
        <v>324</v>
      </c>
      <c r="H338" s="15" t="s">
        <v>10</v>
      </c>
      <c r="I338" s="19"/>
    </row>
    <row r="339" spans="1:9">
      <c r="A339" s="8">
        <v>45928</v>
      </c>
      <c r="B339" s="1">
        <v>845</v>
      </c>
      <c r="C339" s="18" t="s">
        <v>24</v>
      </c>
      <c r="D339" s="1">
        <v>438</v>
      </c>
      <c r="E339" s="1">
        <v>438</v>
      </c>
      <c r="H339" s="15" t="s">
        <v>10</v>
      </c>
      <c r="I339" s="19"/>
    </row>
    <row r="340" spans="1:9">
      <c r="A340" s="8">
        <v>45928</v>
      </c>
      <c r="B340" s="1">
        <v>909</v>
      </c>
      <c r="C340" s="18" t="s">
        <v>11</v>
      </c>
      <c r="D340" s="1">
        <v>420</v>
      </c>
      <c r="E340" s="1">
        <v>420</v>
      </c>
      <c r="H340" s="15" t="s">
        <v>10</v>
      </c>
      <c r="I340" s="19"/>
    </row>
    <row r="341" spans="1:9">
      <c r="A341" s="8">
        <v>45928</v>
      </c>
      <c r="B341" s="1">
        <v>908</v>
      </c>
      <c r="C341" s="18" t="s">
        <v>23</v>
      </c>
      <c r="D341" s="1">
        <v>420</v>
      </c>
      <c r="E341" s="1">
        <v>420</v>
      </c>
      <c r="H341" s="15" t="s">
        <v>10</v>
      </c>
      <c r="I341" s="19"/>
    </row>
    <row r="342" spans="1:9">
      <c r="A342" s="8">
        <v>45928</v>
      </c>
      <c r="B342" s="1">
        <v>6639</v>
      </c>
      <c r="C342" s="18" t="s">
        <v>9</v>
      </c>
      <c r="D342" s="1">
        <v>438</v>
      </c>
      <c r="E342" s="1">
        <v>438</v>
      </c>
      <c r="H342" s="15" t="s">
        <v>10</v>
      </c>
      <c r="I342" s="19"/>
    </row>
    <row r="343" spans="1:9">
      <c r="A343" s="8">
        <v>45929</v>
      </c>
      <c r="B343" s="1">
        <v>9845</v>
      </c>
      <c r="C343" s="18" t="s">
        <v>80</v>
      </c>
      <c r="D343" s="1">
        <v>308</v>
      </c>
      <c r="E343" s="1">
        <v>308</v>
      </c>
      <c r="H343" s="15" t="s">
        <v>10</v>
      </c>
      <c r="I343" s="19">
        <f>SUM(E343:E352)</f>
        <v>4422</v>
      </c>
    </row>
    <row r="344" spans="1:9">
      <c r="A344" s="8">
        <v>45929</v>
      </c>
      <c r="B344" s="1">
        <v>9839</v>
      </c>
      <c r="C344" s="18" t="s">
        <v>93</v>
      </c>
      <c r="D344" s="1">
        <v>184</v>
      </c>
      <c r="E344" s="1">
        <v>184</v>
      </c>
      <c r="H344" s="15" t="s">
        <v>10</v>
      </c>
      <c r="I344" s="19"/>
    </row>
    <row r="345" spans="1:9">
      <c r="A345" s="8">
        <v>45929</v>
      </c>
      <c r="B345" s="1">
        <v>9632</v>
      </c>
      <c r="C345" s="18" t="s">
        <v>75</v>
      </c>
      <c r="D345" s="1">
        <v>156</v>
      </c>
      <c r="E345" s="1">
        <v>156</v>
      </c>
      <c r="H345" s="15" t="s">
        <v>10</v>
      </c>
      <c r="I345" s="19"/>
    </row>
    <row r="346" spans="1:9">
      <c r="A346" s="8">
        <v>45929</v>
      </c>
      <c r="B346" s="1">
        <v>1632</v>
      </c>
      <c r="C346" s="18" t="s">
        <v>78</v>
      </c>
      <c r="D346" s="1">
        <v>516</v>
      </c>
      <c r="E346" s="1">
        <v>516</v>
      </c>
      <c r="H346" s="15" t="s">
        <v>10</v>
      </c>
      <c r="I346" s="19"/>
    </row>
    <row r="347" spans="1:9">
      <c r="A347" s="8">
        <v>45929</v>
      </c>
      <c r="B347" s="1">
        <v>1653</v>
      </c>
      <c r="C347" s="18" t="s">
        <v>95</v>
      </c>
      <c r="D347" s="1">
        <v>244</v>
      </c>
      <c r="E347" s="1">
        <v>244</v>
      </c>
      <c r="H347" s="15" t="s">
        <v>10</v>
      </c>
      <c r="I347" s="19"/>
    </row>
    <row r="348" spans="1:9">
      <c r="A348" s="8">
        <v>45929</v>
      </c>
      <c r="B348" s="1">
        <v>632</v>
      </c>
      <c r="C348" s="18" t="s">
        <v>29</v>
      </c>
      <c r="D348" s="1">
        <v>234</v>
      </c>
      <c r="E348" s="1">
        <v>234</v>
      </c>
      <c r="H348" s="15" t="s">
        <v>10</v>
      </c>
      <c r="I348" s="19"/>
    </row>
    <row r="349" spans="1:9">
      <c r="A349" s="8">
        <v>45929</v>
      </c>
      <c r="B349" s="1">
        <v>909</v>
      </c>
      <c r="C349" s="18" t="s">
        <v>11</v>
      </c>
      <c r="D349" s="1">
        <v>930</v>
      </c>
      <c r="E349" s="1">
        <v>930</v>
      </c>
      <c r="H349" s="15" t="s">
        <v>10</v>
      </c>
      <c r="I349" s="19"/>
    </row>
    <row r="350" spans="1:9">
      <c r="A350" s="8">
        <v>45929</v>
      </c>
      <c r="B350" s="1">
        <v>908</v>
      </c>
      <c r="C350" s="18" t="s">
        <v>23</v>
      </c>
      <c r="D350" s="1">
        <v>822</v>
      </c>
      <c r="E350" s="1">
        <v>822</v>
      </c>
      <c r="H350" s="15" t="s">
        <v>10</v>
      </c>
      <c r="I350" s="19"/>
    </row>
    <row r="351" spans="1:9">
      <c r="A351" s="8">
        <v>45929</v>
      </c>
      <c r="B351" s="1">
        <v>6639</v>
      </c>
      <c r="C351" s="18" t="s">
        <v>9</v>
      </c>
      <c r="D351" s="1">
        <v>672</v>
      </c>
      <c r="E351" s="1">
        <v>672</v>
      </c>
      <c r="H351" s="15" t="s">
        <v>10</v>
      </c>
      <c r="I351" s="19"/>
    </row>
    <row r="352" spans="1:9">
      <c r="A352" s="8">
        <v>45929</v>
      </c>
      <c r="B352" s="1">
        <v>8839</v>
      </c>
      <c r="C352" s="18" t="s">
        <v>20</v>
      </c>
      <c r="D352" s="1">
        <v>356</v>
      </c>
      <c r="E352" s="1">
        <v>356</v>
      </c>
      <c r="H352" s="15" t="s">
        <v>10</v>
      </c>
      <c r="I352" s="19"/>
    </row>
    <row r="353" spans="1:10">
      <c r="A353" s="8">
        <v>45930</v>
      </c>
      <c r="B353" s="1">
        <v>1909</v>
      </c>
      <c r="C353" s="18" t="s">
        <v>83</v>
      </c>
      <c r="D353" s="1">
        <v>786</v>
      </c>
      <c r="E353" s="1">
        <v>786</v>
      </c>
      <c r="H353" s="15" t="s">
        <v>10</v>
      </c>
      <c r="I353" s="19">
        <f>SUM(E353:E367)</f>
        <v>5010</v>
      </c>
    </row>
    <row r="354" spans="1:10">
      <c r="A354" s="8">
        <v>45930</v>
      </c>
      <c r="B354" s="1">
        <v>1632</v>
      </c>
      <c r="C354" s="18" t="s">
        <v>78</v>
      </c>
      <c r="D354" s="1">
        <v>774</v>
      </c>
      <c r="E354" s="1">
        <v>774</v>
      </c>
      <c r="H354" s="15" t="s">
        <v>10</v>
      </c>
      <c r="I354" s="19"/>
    </row>
    <row r="355" spans="1:10">
      <c r="A355" s="8">
        <v>45930</v>
      </c>
      <c r="B355" s="1">
        <v>1653</v>
      </c>
      <c r="C355" s="18" t="s">
        <v>95</v>
      </c>
      <c r="D355" s="1">
        <v>596</v>
      </c>
      <c r="E355" s="1">
        <v>596</v>
      </c>
      <c r="H355" s="15" t="s">
        <v>10</v>
      </c>
      <c r="I355" s="19"/>
    </row>
    <row r="356" spans="1:10">
      <c r="A356" s="8">
        <v>45930</v>
      </c>
      <c r="B356" s="1">
        <v>1625</v>
      </c>
      <c r="C356" s="18" t="s">
        <v>90</v>
      </c>
      <c r="D356" s="1">
        <v>540</v>
      </c>
      <c r="E356" s="1">
        <v>540</v>
      </c>
      <c r="H356" s="15" t="s">
        <v>10</v>
      </c>
      <c r="I356" s="19"/>
    </row>
    <row r="357" spans="1:10">
      <c r="A357" s="8">
        <v>45930</v>
      </c>
      <c r="B357" s="1">
        <v>845</v>
      </c>
      <c r="C357" s="18" t="s">
        <v>24</v>
      </c>
      <c r="D357" s="1">
        <v>10</v>
      </c>
      <c r="E357" s="1">
        <v>10</v>
      </c>
      <c r="H357" s="15" t="s">
        <v>10</v>
      </c>
      <c r="I357" s="19"/>
    </row>
    <row r="358" spans="1:10">
      <c r="A358" s="8">
        <v>45930</v>
      </c>
      <c r="B358" s="1">
        <v>656</v>
      </c>
      <c r="C358" s="18" t="s">
        <v>73</v>
      </c>
      <c r="D358" s="1">
        <v>10</v>
      </c>
      <c r="E358" s="1">
        <v>10</v>
      </c>
      <c r="H358" s="15" t="s">
        <v>10</v>
      </c>
      <c r="I358" s="19"/>
    </row>
    <row r="359" spans="1:10">
      <c r="A359" s="8">
        <v>45930</v>
      </c>
      <c r="B359" s="1">
        <v>627</v>
      </c>
      <c r="C359" s="18" t="s">
        <v>71</v>
      </c>
      <c r="D359" s="1">
        <v>70</v>
      </c>
      <c r="E359" s="1">
        <v>70</v>
      </c>
      <c r="H359" s="15" t="s">
        <v>10</v>
      </c>
      <c r="I359" s="19"/>
    </row>
    <row r="360" spans="1:10">
      <c r="A360" s="8">
        <v>45930</v>
      </c>
      <c r="B360" s="1">
        <v>909</v>
      </c>
      <c r="C360" s="18" t="s">
        <v>11</v>
      </c>
      <c r="D360" s="1">
        <v>7</v>
      </c>
      <c r="E360" s="1">
        <v>7</v>
      </c>
      <c r="H360" s="15" t="s">
        <v>10</v>
      </c>
      <c r="I360" s="19"/>
    </row>
    <row r="361" spans="1:10">
      <c r="A361" s="8">
        <v>45930</v>
      </c>
      <c r="B361" s="1">
        <v>1650</v>
      </c>
      <c r="C361" s="18" t="s">
        <v>84</v>
      </c>
      <c r="D361" s="1">
        <v>213</v>
      </c>
      <c r="E361" s="1">
        <v>213</v>
      </c>
      <c r="H361" s="15" t="s">
        <v>10</v>
      </c>
      <c r="I361" s="19"/>
    </row>
    <row r="362" spans="1:10">
      <c r="A362" s="8">
        <v>45930</v>
      </c>
      <c r="B362" s="1">
        <v>1845</v>
      </c>
      <c r="C362" s="18" t="s">
        <v>85</v>
      </c>
      <c r="D362" s="1">
        <v>480</v>
      </c>
      <c r="E362" s="1">
        <v>480</v>
      </c>
      <c r="H362" s="15" t="s">
        <v>10</v>
      </c>
      <c r="I362" s="19"/>
    </row>
    <row r="363" spans="1:10">
      <c r="A363" s="8">
        <v>45930</v>
      </c>
      <c r="B363" s="1">
        <v>9845</v>
      </c>
      <c r="C363" s="18" t="s">
        <v>80</v>
      </c>
      <c r="D363" s="1">
        <v>308</v>
      </c>
      <c r="E363" s="1">
        <v>308</v>
      </c>
      <c r="H363" s="15" t="s">
        <v>10</v>
      </c>
      <c r="I363" s="19"/>
    </row>
    <row r="364" spans="1:10">
      <c r="A364" s="8">
        <v>45930</v>
      </c>
      <c r="B364" s="1">
        <v>1639</v>
      </c>
      <c r="C364" s="18" t="s">
        <v>88</v>
      </c>
      <c r="D364" s="1">
        <v>304</v>
      </c>
      <c r="E364" s="1">
        <v>304</v>
      </c>
      <c r="H364" s="15" t="s">
        <v>10</v>
      </c>
      <c r="I364" s="19"/>
    </row>
    <row r="365" spans="1:10">
      <c r="A365" s="8">
        <v>45930</v>
      </c>
      <c r="B365" s="1">
        <v>659</v>
      </c>
      <c r="C365" s="18" t="s">
        <v>21</v>
      </c>
      <c r="D365" s="1">
        <v>448</v>
      </c>
      <c r="E365" s="1">
        <v>448</v>
      </c>
      <c r="H365" s="15" t="s">
        <v>10</v>
      </c>
      <c r="I365" s="19"/>
    </row>
    <row r="366" spans="1:10">
      <c r="A366" s="8">
        <v>45930</v>
      </c>
      <c r="B366" s="1">
        <v>909</v>
      </c>
      <c r="C366" s="18" t="s">
        <v>11</v>
      </c>
      <c r="D366" s="1">
        <v>240</v>
      </c>
      <c r="E366" s="1">
        <v>240</v>
      </c>
      <c r="H366" s="15" t="s">
        <v>10</v>
      </c>
      <c r="I366" s="19"/>
    </row>
    <row r="367" spans="1:10">
      <c r="A367" s="8">
        <v>45930</v>
      </c>
      <c r="B367" s="1">
        <v>908</v>
      </c>
      <c r="C367" s="18" t="s">
        <v>23</v>
      </c>
      <c r="D367" s="1">
        <v>224</v>
      </c>
      <c r="E367" s="1">
        <v>224</v>
      </c>
      <c r="H367" s="15" t="s">
        <v>10</v>
      </c>
      <c r="I367" s="19"/>
    </row>
    <row r="368" spans="1:10">
      <c r="J368">
        <f>SUM(I2:I367)</f>
        <v>134096</v>
      </c>
    </row>
    <row r="369" spans="10:10">
      <c r="J369" t="s">
        <v>110</v>
      </c>
    </row>
    <row r="370" spans="10:10">
      <c r="J370">
        <f>J368+9380</f>
        <v>143476</v>
      </c>
    </row>
    <row r="371" spans="10:10">
      <c r="J371">
        <f>J370*0.05</f>
        <v>7173.8</v>
      </c>
    </row>
  </sheetData>
  <mergeCells count="30">
    <mergeCell ref="I2:I8"/>
    <mergeCell ref="I9:I25"/>
    <mergeCell ref="I26:I37"/>
    <mergeCell ref="I38:I48"/>
    <mergeCell ref="I49:I60"/>
    <mergeCell ref="I61:I71"/>
    <mergeCell ref="I72:I84"/>
    <mergeCell ref="I85:I93"/>
    <mergeCell ref="I94:I104"/>
    <mergeCell ref="I105:I122"/>
    <mergeCell ref="I123:I134"/>
    <mergeCell ref="I135:I151"/>
    <mergeCell ref="I152:I163"/>
    <mergeCell ref="I164:I174"/>
    <mergeCell ref="I175:I188"/>
    <mergeCell ref="I189:I197"/>
    <mergeCell ref="I198:I203"/>
    <mergeCell ref="I204:I215"/>
    <mergeCell ref="I216:I230"/>
    <mergeCell ref="I231:I240"/>
    <mergeCell ref="I241:I256"/>
    <mergeCell ref="I257:I273"/>
    <mergeCell ref="I274:I281"/>
    <mergeCell ref="I282:I292"/>
    <mergeCell ref="I293:I302"/>
    <mergeCell ref="I303:I313"/>
    <mergeCell ref="I314:I326"/>
    <mergeCell ref="I327:I342"/>
    <mergeCell ref="I343:I352"/>
    <mergeCell ref="I353:I36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6"/>
  <sheetViews>
    <sheetView zoomScale="86" zoomScaleNormal="86" workbookViewId="0">
      <pane ySplit="1" topLeftCell="A318" activePane="bottomLeft" state="frozen"/>
      <selection/>
      <selection pane="bottomLeft" activeCell="A340" sqref="A340"/>
    </sheetView>
  </sheetViews>
  <sheetFormatPr defaultColWidth="10" defaultRowHeight="13.5"/>
  <cols>
    <col min="1" max="1" width="7.275" style="1" customWidth="1"/>
    <col min="2" max="2" width="5.21666666666667" style="1" customWidth="1"/>
    <col min="3" max="3" width="6.10833333333333" style="2" customWidth="1"/>
    <col min="4" max="7" width="9.21666666666667" style="1" customWidth="1"/>
    <col min="8" max="8" width="5.10833333333333" style="1" customWidth="1"/>
    <col min="9" max="9" width="5.21666666666667" style="1" customWidth="1"/>
    <col min="10" max="16384" width="10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27"/>
      <c r="K1" s="27"/>
      <c r="L1" s="27"/>
      <c r="M1" s="27"/>
      <c r="N1" s="27"/>
      <c r="O1" s="27"/>
      <c r="P1" s="27"/>
    </row>
    <row r="2" spans="1:16">
      <c r="A2" s="8">
        <v>45870</v>
      </c>
      <c r="B2" s="9">
        <v>9908</v>
      </c>
      <c r="C2" s="10" t="s">
        <v>89</v>
      </c>
      <c r="D2" s="9">
        <v>496</v>
      </c>
      <c r="E2" s="9">
        <v>496</v>
      </c>
      <c r="F2" s="9"/>
      <c r="G2" s="9"/>
      <c r="H2" s="9" t="s">
        <v>10</v>
      </c>
      <c r="I2" s="11">
        <f>SUM(E2:E6)</f>
        <v>1912</v>
      </c>
    </row>
    <row r="3" spans="1:16">
      <c r="A3" s="8">
        <v>45870</v>
      </c>
      <c r="B3" s="12">
        <v>9909</v>
      </c>
      <c r="C3" s="13" t="s">
        <v>86</v>
      </c>
      <c r="D3" s="12">
        <v>308</v>
      </c>
      <c r="E3" s="12">
        <v>308</v>
      </c>
      <c r="F3" s="12"/>
      <c r="G3" s="12"/>
      <c r="H3" s="12" t="s">
        <v>10</v>
      </c>
      <c r="I3" s="14"/>
    </row>
    <row r="4" spans="1:16">
      <c r="A4" s="8">
        <v>45870</v>
      </c>
      <c r="B4" s="12">
        <v>9631</v>
      </c>
      <c r="C4" s="13" t="s">
        <v>111</v>
      </c>
      <c r="D4" s="12">
        <v>444</v>
      </c>
      <c r="E4" s="12">
        <v>444</v>
      </c>
      <c r="F4" s="12"/>
      <c r="G4" s="12"/>
      <c r="H4" s="12" t="s">
        <v>10</v>
      </c>
      <c r="I4" s="14"/>
    </row>
    <row r="5" spans="1:16">
      <c r="A5" s="8">
        <v>45870</v>
      </c>
      <c r="B5" s="12">
        <v>9636</v>
      </c>
      <c r="C5" s="13" t="s">
        <v>112</v>
      </c>
      <c r="D5" s="12">
        <v>392</v>
      </c>
      <c r="E5" s="12">
        <v>392</v>
      </c>
      <c r="F5" s="12"/>
      <c r="G5" s="12"/>
      <c r="H5" s="12" t="s">
        <v>10</v>
      </c>
      <c r="I5" s="14"/>
    </row>
    <row r="6" spans="1:16">
      <c r="A6" s="8">
        <v>45870</v>
      </c>
      <c r="B6" s="12">
        <v>9623</v>
      </c>
      <c r="C6" s="13" t="s">
        <v>87</v>
      </c>
      <c r="D6" s="12">
        <v>272</v>
      </c>
      <c r="E6" s="12">
        <v>272</v>
      </c>
      <c r="F6" s="12"/>
      <c r="G6" s="12"/>
      <c r="H6" s="12" t="s">
        <v>10</v>
      </c>
      <c r="I6" s="14"/>
    </row>
    <row r="7" spans="1:16">
      <c r="A7" s="8">
        <v>45871</v>
      </c>
      <c r="B7" s="12">
        <v>9838</v>
      </c>
      <c r="C7" s="13" t="s">
        <v>113</v>
      </c>
      <c r="D7" s="12">
        <v>1328</v>
      </c>
      <c r="E7" s="12">
        <v>1328</v>
      </c>
      <c r="F7" s="12"/>
      <c r="G7" s="12"/>
      <c r="H7" s="12" t="s">
        <v>10</v>
      </c>
      <c r="I7" s="14">
        <f>SUM(E7:E14)</f>
        <v>4015</v>
      </c>
    </row>
    <row r="8" spans="1:16">
      <c r="A8" s="8">
        <v>45871</v>
      </c>
      <c r="B8" s="12">
        <v>9623</v>
      </c>
      <c r="C8" s="13" t="s">
        <v>87</v>
      </c>
      <c r="D8" s="12">
        <v>756</v>
      </c>
      <c r="E8" s="12">
        <v>756</v>
      </c>
      <c r="F8" s="12"/>
      <c r="G8" s="12"/>
      <c r="H8" s="12" t="s">
        <v>10</v>
      </c>
      <c r="I8" s="14"/>
    </row>
    <row r="9" spans="1:16">
      <c r="A9" s="8">
        <v>45871</v>
      </c>
      <c r="B9" s="12">
        <v>9636</v>
      </c>
      <c r="C9" s="13" t="s">
        <v>112</v>
      </c>
      <c r="D9" s="12">
        <v>388</v>
      </c>
      <c r="E9" s="12">
        <v>388</v>
      </c>
      <c r="F9" s="12"/>
      <c r="G9" s="12"/>
      <c r="H9" s="12" t="s">
        <v>10</v>
      </c>
      <c r="I9" s="14"/>
    </row>
    <row r="10" spans="1:16">
      <c r="A10" s="8">
        <v>45871</v>
      </c>
      <c r="B10" s="12">
        <v>9638</v>
      </c>
      <c r="C10" s="13" t="s">
        <v>114</v>
      </c>
      <c r="D10" s="12">
        <v>184</v>
      </c>
      <c r="E10" s="12">
        <v>184</v>
      </c>
      <c r="F10" s="12"/>
      <c r="G10" s="12"/>
      <c r="H10" s="12" t="s">
        <v>10</v>
      </c>
      <c r="I10" s="14"/>
    </row>
    <row r="11" spans="1:16">
      <c r="A11" s="8">
        <v>45871</v>
      </c>
      <c r="B11" s="12">
        <v>9908</v>
      </c>
      <c r="C11" s="13" t="s">
        <v>89</v>
      </c>
      <c r="D11" s="12">
        <v>618</v>
      </c>
      <c r="E11" s="12">
        <v>618</v>
      </c>
      <c r="F11" s="12"/>
      <c r="G11" s="12"/>
      <c r="H11" s="12" t="s">
        <v>10</v>
      </c>
      <c r="I11" s="14"/>
    </row>
    <row r="12" spans="1:16">
      <c r="A12" s="8">
        <v>45871</v>
      </c>
      <c r="B12" s="12">
        <v>9627</v>
      </c>
      <c r="C12" s="13" t="s">
        <v>82</v>
      </c>
      <c r="D12" s="12">
        <v>72</v>
      </c>
      <c r="E12" s="12">
        <v>72</v>
      </c>
      <c r="F12" s="12"/>
      <c r="G12" s="12"/>
      <c r="H12" s="12" t="s">
        <v>10</v>
      </c>
      <c r="I12" s="14"/>
    </row>
    <row r="13" spans="1:16">
      <c r="A13" s="8">
        <v>45871</v>
      </c>
      <c r="B13" s="12">
        <v>9632</v>
      </c>
      <c r="C13" s="13" t="s">
        <v>75</v>
      </c>
      <c r="D13" s="12">
        <v>516</v>
      </c>
      <c r="E13" s="12">
        <v>516</v>
      </c>
      <c r="F13" s="12"/>
      <c r="G13" s="12"/>
      <c r="H13" s="12" t="s">
        <v>10</v>
      </c>
      <c r="I13" s="14"/>
    </row>
    <row r="14" spans="1:16">
      <c r="A14" s="8">
        <v>45871</v>
      </c>
      <c r="B14" s="12">
        <v>9637</v>
      </c>
      <c r="C14" s="13" t="s">
        <v>115</v>
      </c>
      <c r="D14" s="12">
        <v>153</v>
      </c>
      <c r="E14" s="12">
        <v>153</v>
      </c>
      <c r="F14" s="12"/>
      <c r="G14" s="12"/>
      <c r="H14" s="12" t="s">
        <v>10</v>
      </c>
      <c r="I14" s="14"/>
    </row>
    <row r="15" spans="1:16">
      <c r="A15" s="8">
        <v>45872</v>
      </c>
      <c r="B15" s="12">
        <v>9623</v>
      </c>
      <c r="C15" s="13" t="s">
        <v>87</v>
      </c>
      <c r="D15" s="12">
        <v>882</v>
      </c>
      <c r="E15" s="12">
        <v>882</v>
      </c>
      <c r="F15" s="12"/>
      <c r="G15" s="12"/>
      <c r="H15" s="12" t="s">
        <v>10</v>
      </c>
      <c r="I15" s="14">
        <f>SUM(E15:E29)</f>
        <v>3370</v>
      </c>
    </row>
    <row r="16" spans="1:16">
      <c r="A16" s="8">
        <v>45872</v>
      </c>
      <c r="B16" s="12">
        <v>9909</v>
      </c>
      <c r="C16" s="13" t="s">
        <v>86</v>
      </c>
      <c r="D16" s="12">
        <v>492</v>
      </c>
      <c r="E16" s="12">
        <v>492</v>
      </c>
      <c r="F16" s="12"/>
      <c r="G16" s="12"/>
      <c r="H16" s="12" t="s">
        <v>10</v>
      </c>
      <c r="I16" s="14"/>
    </row>
    <row r="17" spans="1:9">
      <c r="A17" s="8">
        <v>45872</v>
      </c>
      <c r="B17" s="12">
        <v>9908</v>
      </c>
      <c r="C17" s="13" t="s">
        <v>89</v>
      </c>
      <c r="D17" s="12">
        <v>416</v>
      </c>
      <c r="E17" s="12">
        <v>416</v>
      </c>
      <c r="F17" s="12"/>
      <c r="G17" s="12"/>
      <c r="H17" s="12" t="s">
        <v>10</v>
      </c>
      <c r="I17" s="14"/>
    </row>
    <row r="18" spans="1:9">
      <c r="A18" s="8">
        <v>45872</v>
      </c>
      <c r="B18" s="12">
        <v>9845</v>
      </c>
      <c r="C18" s="13" t="s">
        <v>80</v>
      </c>
      <c r="D18" s="12">
        <v>540</v>
      </c>
      <c r="E18" s="12">
        <v>540</v>
      </c>
      <c r="F18" s="12"/>
      <c r="G18" s="12"/>
      <c r="H18" s="12" t="s">
        <v>10</v>
      </c>
      <c r="I18" s="14"/>
    </row>
    <row r="19" spans="1:9">
      <c r="A19" s="8">
        <v>45872</v>
      </c>
      <c r="B19" s="12">
        <v>9630</v>
      </c>
      <c r="C19" s="13" t="s">
        <v>116</v>
      </c>
      <c r="D19" s="12">
        <v>216</v>
      </c>
      <c r="E19" s="12">
        <v>216</v>
      </c>
      <c r="F19" s="12"/>
      <c r="G19" s="12"/>
      <c r="H19" s="12" t="s">
        <v>10</v>
      </c>
      <c r="I19" s="14"/>
    </row>
    <row r="20" spans="1:9">
      <c r="A20" s="8">
        <v>45872</v>
      </c>
      <c r="B20" s="12">
        <v>9631</v>
      </c>
      <c r="C20" s="13" t="s">
        <v>111</v>
      </c>
      <c r="D20" s="12">
        <v>408</v>
      </c>
      <c r="E20" s="12">
        <v>408</v>
      </c>
      <c r="F20" s="12"/>
      <c r="G20" s="12"/>
      <c r="H20" s="12" t="s">
        <v>10</v>
      </c>
      <c r="I20" s="14"/>
    </row>
    <row r="21" spans="1:9">
      <c r="A21" s="8">
        <v>45872</v>
      </c>
      <c r="B21" s="12">
        <v>9639</v>
      </c>
      <c r="C21" s="13" t="s">
        <v>117</v>
      </c>
      <c r="D21" s="12">
        <v>352</v>
      </c>
      <c r="E21" s="12">
        <v>352</v>
      </c>
      <c r="F21" s="12"/>
      <c r="G21" s="12"/>
      <c r="H21" s="12" t="s">
        <v>10</v>
      </c>
      <c r="I21" s="14"/>
    </row>
    <row r="22" spans="1:9">
      <c r="A22" s="8">
        <v>45872</v>
      </c>
      <c r="B22" s="12">
        <v>9623</v>
      </c>
      <c r="C22" s="13" t="s">
        <v>87</v>
      </c>
      <c r="D22" s="12">
        <v>8</v>
      </c>
      <c r="E22" s="12">
        <v>8</v>
      </c>
      <c r="F22" s="12"/>
      <c r="G22" s="12"/>
      <c r="H22" s="12" t="s">
        <v>10</v>
      </c>
      <c r="I22" s="14"/>
    </row>
    <row r="23" spans="1:9">
      <c r="A23" s="8">
        <v>45872</v>
      </c>
      <c r="B23" s="12">
        <v>9638</v>
      </c>
      <c r="C23" s="13" t="s">
        <v>114</v>
      </c>
      <c r="D23" s="12">
        <v>8</v>
      </c>
      <c r="E23" s="12">
        <v>8</v>
      </c>
      <c r="F23" s="12"/>
      <c r="G23" s="12"/>
      <c r="H23" s="12" t="s">
        <v>10</v>
      </c>
      <c r="I23" s="14"/>
    </row>
    <row r="24" spans="1:9">
      <c r="A24" s="8">
        <v>45872</v>
      </c>
      <c r="B24" s="12">
        <v>9909</v>
      </c>
      <c r="C24" s="13" t="s">
        <v>86</v>
      </c>
      <c r="D24" s="12">
        <v>8</v>
      </c>
      <c r="E24" s="12">
        <v>8</v>
      </c>
      <c r="F24" s="12"/>
      <c r="G24" s="12"/>
      <c r="H24" s="12" t="s">
        <v>10</v>
      </c>
      <c r="I24" s="14"/>
    </row>
    <row r="25" spans="1:9">
      <c r="A25" s="8">
        <v>45872</v>
      </c>
      <c r="B25" s="12">
        <v>9908</v>
      </c>
      <c r="C25" s="13" t="s">
        <v>89</v>
      </c>
      <c r="D25" s="12">
        <v>8</v>
      </c>
      <c r="E25" s="12">
        <v>8</v>
      </c>
      <c r="F25" s="12"/>
      <c r="G25" s="12"/>
      <c r="H25" s="12" t="s">
        <v>10</v>
      </c>
      <c r="I25" s="14"/>
    </row>
    <row r="26" spans="1:9">
      <c r="A26" s="8">
        <v>45872</v>
      </c>
      <c r="B26" s="12">
        <v>9842</v>
      </c>
      <c r="C26" s="13" t="s">
        <v>118</v>
      </c>
      <c r="D26" s="12">
        <v>8</v>
      </c>
      <c r="E26" s="12">
        <v>8</v>
      </c>
      <c r="F26" s="12"/>
      <c r="G26" s="12"/>
      <c r="H26" s="12" t="s">
        <v>10</v>
      </c>
      <c r="I26" s="14"/>
    </row>
    <row r="27" spans="1:9">
      <c r="A27" s="8">
        <v>45872</v>
      </c>
      <c r="B27" s="12">
        <v>9630</v>
      </c>
      <c r="C27" s="13" t="s">
        <v>116</v>
      </c>
      <c r="D27" s="12">
        <v>8</v>
      </c>
      <c r="E27" s="12">
        <v>8</v>
      </c>
      <c r="F27" s="12"/>
      <c r="G27" s="12"/>
      <c r="H27" s="12" t="s">
        <v>10</v>
      </c>
      <c r="I27" s="14"/>
    </row>
    <row r="28" spans="1:9">
      <c r="A28" s="8">
        <v>45872</v>
      </c>
      <c r="B28" s="12">
        <v>9632</v>
      </c>
      <c r="C28" s="13" t="s">
        <v>75</v>
      </c>
      <c r="D28" s="12">
        <v>8</v>
      </c>
      <c r="E28" s="12">
        <v>8</v>
      </c>
      <c r="F28" s="12"/>
      <c r="G28" s="12"/>
      <c r="H28" s="12" t="s">
        <v>10</v>
      </c>
      <c r="I28" s="14"/>
    </row>
    <row r="29" spans="1:9">
      <c r="A29" s="8">
        <v>45872</v>
      </c>
      <c r="B29" s="12">
        <v>9839</v>
      </c>
      <c r="C29" s="13" t="s">
        <v>93</v>
      </c>
      <c r="D29" s="12">
        <v>8</v>
      </c>
      <c r="E29" s="12">
        <v>8</v>
      </c>
      <c r="F29" s="12"/>
      <c r="G29" s="12"/>
      <c r="H29" s="12" t="s">
        <v>10</v>
      </c>
      <c r="I29" s="14"/>
    </row>
    <row r="30" spans="1:9">
      <c r="A30" s="8">
        <v>45873</v>
      </c>
      <c r="B30" s="12">
        <v>9908</v>
      </c>
      <c r="C30" s="13" t="s">
        <v>89</v>
      </c>
      <c r="D30" s="12">
        <v>390</v>
      </c>
      <c r="E30" s="12">
        <v>390</v>
      </c>
      <c r="F30" s="12"/>
      <c r="G30" s="12"/>
      <c r="H30" s="12" t="s">
        <v>10</v>
      </c>
      <c r="I30" s="14">
        <f>SUM(E30:E35)</f>
        <v>2204</v>
      </c>
    </row>
    <row r="31" spans="1:9">
      <c r="A31" s="8">
        <v>45873</v>
      </c>
      <c r="B31" s="12">
        <v>9632</v>
      </c>
      <c r="C31" s="13" t="s">
        <v>75</v>
      </c>
      <c r="D31" s="12">
        <v>390</v>
      </c>
      <c r="E31" s="12">
        <v>390</v>
      </c>
      <c r="F31" s="12"/>
      <c r="G31" s="12"/>
      <c r="H31" s="12" t="s">
        <v>10</v>
      </c>
      <c r="I31" s="14"/>
    </row>
    <row r="32" spans="1:9">
      <c r="A32" s="8">
        <v>45873</v>
      </c>
      <c r="B32" s="12">
        <v>9623</v>
      </c>
      <c r="C32" s="13" t="s">
        <v>87</v>
      </c>
      <c r="D32" s="12">
        <v>822</v>
      </c>
      <c r="E32" s="12">
        <v>822</v>
      </c>
      <c r="F32" s="12"/>
      <c r="G32" s="12"/>
      <c r="H32" s="12" t="s">
        <v>10</v>
      </c>
      <c r="I32" s="14"/>
    </row>
    <row r="33" spans="1:9">
      <c r="A33" s="8">
        <v>45873</v>
      </c>
      <c r="B33" s="12">
        <v>9631</v>
      </c>
      <c r="C33" s="13" t="s">
        <v>111</v>
      </c>
      <c r="D33" s="12">
        <v>56</v>
      </c>
      <c r="E33" s="12">
        <v>56</v>
      </c>
      <c r="F33" s="12"/>
      <c r="G33" s="12"/>
      <c r="H33" s="12" t="s">
        <v>10</v>
      </c>
      <c r="I33" s="14"/>
    </row>
    <row r="34" spans="1:9">
      <c r="A34" s="8">
        <v>45873</v>
      </c>
      <c r="B34" s="12">
        <v>9845</v>
      </c>
      <c r="C34" s="13" t="s">
        <v>80</v>
      </c>
      <c r="D34" s="12">
        <v>432</v>
      </c>
      <c r="E34" s="12">
        <v>432</v>
      </c>
      <c r="F34" s="12"/>
      <c r="G34" s="12"/>
      <c r="H34" s="12" t="s">
        <v>10</v>
      </c>
      <c r="I34" s="14"/>
    </row>
    <row r="35" spans="1:9">
      <c r="A35" s="8">
        <v>45873</v>
      </c>
      <c r="B35" s="15">
        <v>9839</v>
      </c>
      <c r="C35" s="16" t="s">
        <v>93</v>
      </c>
      <c r="D35" s="15">
        <v>114</v>
      </c>
      <c r="E35" s="15">
        <v>114</v>
      </c>
      <c r="F35" s="15"/>
      <c r="G35" s="15"/>
      <c r="H35" s="15" t="s">
        <v>10</v>
      </c>
      <c r="I35" s="17"/>
    </row>
    <row r="36" spans="1:9">
      <c r="A36" s="8">
        <v>45874</v>
      </c>
      <c r="B36" s="1">
        <v>9631</v>
      </c>
      <c r="C36" s="18" t="s">
        <v>111</v>
      </c>
      <c r="D36" s="1">
        <v>512</v>
      </c>
      <c r="E36" s="1">
        <v>512</v>
      </c>
      <c r="H36" s="15" t="s">
        <v>10</v>
      </c>
      <c r="I36" s="19">
        <f>SUM(E36:E45)</f>
        <v>3080</v>
      </c>
    </row>
    <row r="37" spans="1:9">
      <c r="A37" s="8">
        <v>45874</v>
      </c>
      <c r="B37" s="1">
        <v>9623</v>
      </c>
      <c r="C37" s="18" t="s">
        <v>87</v>
      </c>
      <c r="D37" s="1">
        <v>8</v>
      </c>
      <c r="E37" s="1">
        <v>8</v>
      </c>
      <c r="H37" s="15" t="s">
        <v>10</v>
      </c>
      <c r="I37" s="19"/>
    </row>
    <row r="38" spans="1:9">
      <c r="A38" s="8">
        <v>45874</v>
      </c>
      <c r="B38" s="1">
        <v>9908</v>
      </c>
      <c r="C38" s="18" t="s">
        <v>89</v>
      </c>
      <c r="D38" s="1">
        <v>22</v>
      </c>
      <c r="E38" s="1">
        <v>22</v>
      </c>
      <c r="H38" s="15" t="s">
        <v>10</v>
      </c>
      <c r="I38" s="19"/>
    </row>
    <row r="39" spans="1:9">
      <c r="A39" s="8">
        <v>45874</v>
      </c>
      <c r="B39" s="1">
        <v>9909</v>
      </c>
      <c r="C39" s="18" t="s">
        <v>86</v>
      </c>
      <c r="D39" s="1">
        <v>652</v>
      </c>
      <c r="E39" s="1">
        <v>652</v>
      </c>
      <c r="H39" s="15" t="s">
        <v>10</v>
      </c>
      <c r="I39" s="19"/>
    </row>
    <row r="40" spans="1:9">
      <c r="A40" s="8">
        <v>45874</v>
      </c>
      <c r="B40" s="1">
        <v>9845</v>
      </c>
      <c r="C40" s="18" t="s">
        <v>80</v>
      </c>
      <c r="D40" s="1">
        <v>398</v>
      </c>
      <c r="E40" s="1">
        <v>398</v>
      </c>
      <c r="H40" s="15" t="s">
        <v>10</v>
      </c>
      <c r="I40" s="19"/>
    </row>
    <row r="41" spans="1:9">
      <c r="A41" s="8">
        <v>45874</v>
      </c>
      <c r="B41" s="1">
        <v>650</v>
      </c>
      <c r="C41" s="18" t="s">
        <v>92</v>
      </c>
      <c r="D41" s="1">
        <v>345</v>
      </c>
      <c r="E41" s="1">
        <v>345</v>
      </c>
      <c r="H41" s="15" t="s">
        <v>10</v>
      </c>
      <c r="I41" s="19"/>
    </row>
    <row r="42" spans="1:9">
      <c r="A42" s="8">
        <v>45874</v>
      </c>
      <c r="B42" s="1">
        <v>651</v>
      </c>
      <c r="C42" s="18" t="s">
        <v>119</v>
      </c>
      <c r="D42" s="1">
        <v>345</v>
      </c>
      <c r="E42" s="1">
        <v>345</v>
      </c>
      <c r="H42" s="15" t="s">
        <v>10</v>
      </c>
      <c r="I42" s="19"/>
    </row>
    <row r="43" spans="1:9">
      <c r="A43" s="8">
        <v>45874</v>
      </c>
      <c r="B43" s="1">
        <v>9627</v>
      </c>
      <c r="C43" s="18" t="s">
        <v>82</v>
      </c>
      <c r="D43" s="1">
        <v>156</v>
      </c>
      <c r="E43" s="1">
        <v>156</v>
      </c>
      <c r="H43" s="15" t="s">
        <v>10</v>
      </c>
      <c r="I43" s="19"/>
    </row>
    <row r="44" spans="1:9">
      <c r="A44" s="8">
        <v>45874</v>
      </c>
      <c r="B44" s="1">
        <v>9838</v>
      </c>
      <c r="C44" s="18" t="s">
        <v>113</v>
      </c>
      <c r="D44" s="1">
        <v>38</v>
      </c>
      <c r="E44" s="1">
        <v>38</v>
      </c>
      <c r="H44" s="15" t="s">
        <v>10</v>
      </c>
      <c r="I44" s="19"/>
    </row>
    <row r="45" spans="1:9">
      <c r="A45" s="8">
        <v>45874</v>
      </c>
      <c r="B45" s="1">
        <v>639</v>
      </c>
      <c r="C45" s="18" t="s">
        <v>102</v>
      </c>
      <c r="D45" s="1">
        <v>604</v>
      </c>
      <c r="E45" s="1">
        <v>604</v>
      </c>
      <c r="H45" s="15" t="s">
        <v>10</v>
      </c>
      <c r="I45" s="19"/>
    </row>
    <row r="46" spans="1:9">
      <c r="A46" s="8">
        <v>45875</v>
      </c>
      <c r="B46" s="1">
        <v>9845</v>
      </c>
      <c r="C46" s="18" t="s">
        <v>80</v>
      </c>
      <c r="D46" s="1">
        <v>514</v>
      </c>
      <c r="E46" s="1">
        <v>514</v>
      </c>
      <c r="H46" s="15" t="s">
        <v>10</v>
      </c>
      <c r="I46" s="19">
        <f>SUM(E46:E54)</f>
        <v>2524</v>
      </c>
    </row>
    <row r="47" spans="1:9">
      <c r="A47" s="8">
        <v>45875</v>
      </c>
      <c r="B47" s="1">
        <v>9632</v>
      </c>
      <c r="C47" s="18" t="s">
        <v>75</v>
      </c>
      <c r="D47" s="1">
        <v>472</v>
      </c>
      <c r="E47" s="1">
        <v>472</v>
      </c>
      <c r="H47" s="15" t="s">
        <v>10</v>
      </c>
      <c r="I47" s="19"/>
    </row>
    <row r="48" spans="1:9">
      <c r="A48" s="8">
        <v>45875</v>
      </c>
      <c r="B48" s="1">
        <v>9630</v>
      </c>
      <c r="C48" s="18" t="s">
        <v>116</v>
      </c>
      <c r="D48" s="1">
        <v>279</v>
      </c>
      <c r="E48" s="1">
        <v>279</v>
      </c>
      <c r="H48" s="15" t="s">
        <v>10</v>
      </c>
      <c r="I48" s="19"/>
    </row>
    <row r="49" spans="1:9">
      <c r="A49" s="8">
        <v>45875</v>
      </c>
      <c r="B49" s="1">
        <v>9627</v>
      </c>
      <c r="C49" s="18" t="s">
        <v>82</v>
      </c>
      <c r="D49" s="1">
        <v>222</v>
      </c>
      <c r="E49" s="1">
        <v>222</v>
      </c>
      <c r="H49" s="15" t="s">
        <v>10</v>
      </c>
      <c r="I49" s="19"/>
    </row>
    <row r="50" spans="1:9">
      <c r="A50" s="8">
        <v>45875</v>
      </c>
      <c r="B50" s="1">
        <v>9909</v>
      </c>
      <c r="C50" s="18" t="s">
        <v>86</v>
      </c>
      <c r="D50" s="1">
        <v>8</v>
      </c>
      <c r="E50" s="1">
        <v>8</v>
      </c>
      <c r="H50" s="15" t="s">
        <v>10</v>
      </c>
      <c r="I50" s="19"/>
    </row>
    <row r="51" spans="1:9">
      <c r="A51" s="8">
        <v>45875</v>
      </c>
      <c r="B51" s="1">
        <v>9842</v>
      </c>
      <c r="C51" s="18" t="s">
        <v>118</v>
      </c>
      <c r="D51" s="1">
        <v>258</v>
      </c>
      <c r="E51" s="1">
        <v>258</v>
      </c>
      <c r="H51" s="15" t="s">
        <v>10</v>
      </c>
      <c r="I51" s="19"/>
    </row>
    <row r="52" spans="1:9">
      <c r="A52" s="8">
        <v>45875</v>
      </c>
      <c r="B52" s="1">
        <v>9839</v>
      </c>
      <c r="C52" s="18" t="s">
        <v>93</v>
      </c>
      <c r="D52" s="1">
        <v>192</v>
      </c>
      <c r="E52" s="1">
        <v>192</v>
      </c>
      <c r="H52" s="15" t="s">
        <v>10</v>
      </c>
      <c r="I52" s="19"/>
    </row>
    <row r="53" spans="1:9">
      <c r="A53" s="8">
        <v>45875</v>
      </c>
      <c r="B53" s="1">
        <v>9875</v>
      </c>
      <c r="C53" s="18" t="s">
        <v>43</v>
      </c>
      <c r="D53" s="1">
        <v>47</v>
      </c>
      <c r="E53" s="1">
        <v>47</v>
      </c>
      <c r="H53" s="15" t="s">
        <v>10</v>
      </c>
      <c r="I53" s="19"/>
    </row>
    <row r="54" spans="1:9">
      <c r="A54" s="8">
        <v>45875</v>
      </c>
      <c r="B54" s="1">
        <v>9839</v>
      </c>
      <c r="C54" s="18" t="s">
        <v>93</v>
      </c>
      <c r="D54" s="1">
        <v>532</v>
      </c>
      <c r="E54" s="1">
        <v>532</v>
      </c>
      <c r="H54" s="15" t="s">
        <v>10</v>
      </c>
      <c r="I54" s="19"/>
    </row>
    <row r="55" spans="1:9">
      <c r="A55" s="8">
        <v>45876</v>
      </c>
      <c r="B55" s="1">
        <v>9838</v>
      </c>
      <c r="C55" s="18" t="s">
        <v>113</v>
      </c>
      <c r="D55" s="1">
        <v>72</v>
      </c>
      <c r="E55" s="1">
        <v>72</v>
      </c>
      <c r="H55" s="15" t="s">
        <v>10</v>
      </c>
      <c r="I55" s="19">
        <f>SUM(E55:E67)</f>
        <v>2977</v>
      </c>
    </row>
    <row r="56" spans="1:9">
      <c r="A56" s="8">
        <v>45876</v>
      </c>
      <c r="B56" s="1">
        <v>9845</v>
      </c>
      <c r="C56" s="18" t="s">
        <v>80</v>
      </c>
      <c r="D56" s="1">
        <v>534</v>
      </c>
      <c r="E56" s="1">
        <v>534</v>
      </c>
      <c r="H56" s="15" t="s">
        <v>10</v>
      </c>
      <c r="I56" s="19"/>
    </row>
    <row r="57" spans="1:9">
      <c r="A57" s="8">
        <v>45876</v>
      </c>
      <c r="B57" s="1">
        <v>9908</v>
      </c>
      <c r="C57" s="18" t="s">
        <v>89</v>
      </c>
      <c r="D57" s="1">
        <v>533</v>
      </c>
      <c r="E57" s="1">
        <v>533</v>
      </c>
      <c r="H57" s="15" t="s">
        <v>10</v>
      </c>
      <c r="I57" s="19"/>
    </row>
    <row r="58" spans="1:9">
      <c r="A58" s="8">
        <v>45876</v>
      </c>
      <c r="B58" s="1">
        <v>9623</v>
      </c>
      <c r="C58" s="18" t="s">
        <v>87</v>
      </c>
      <c r="D58" s="1">
        <v>288</v>
      </c>
      <c r="E58" s="1">
        <v>288</v>
      </c>
      <c r="H58" s="15" t="s">
        <v>10</v>
      </c>
      <c r="I58" s="19"/>
    </row>
    <row r="59" spans="1:9">
      <c r="A59" s="8">
        <v>45876</v>
      </c>
      <c r="B59" s="1">
        <v>9636</v>
      </c>
      <c r="C59" s="18" t="s">
        <v>112</v>
      </c>
      <c r="D59" s="1">
        <v>12</v>
      </c>
      <c r="E59" s="1">
        <v>12</v>
      </c>
      <c r="H59" s="15" t="s">
        <v>10</v>
      </c>
      <c r="I59" s="19"/>
    </row>
    <row r="60" spans="1:9">
      <c r="A60" s="8">
        <v>45876</v>
      </c>
      <c r="B60" s="1">
        <v>9632</v>
      </c>
      <c r="C60" s="18" t="s">
        <v>75</v>
      </c>
      <c r="D60" s="1">
        <v>458</v>
      </c>
      <c r="E60" s="1">
        <v>458</v>
      </c>
      <c r="H60" s="15" t="s">
        <v>10</v>
      </c>
      <c r="I60" s="19"/>
    </row>
    <row r="61" spans="1:9">
      <c r="A61" s="8">
        <v>45876</v>
      </c>
      <c r="B61" s="1">
        <v>9909</v>
      </c>
      <c r="C61" s="18" t="s">
        <v>86</v>
      </c>
      <c r="D61" s="1">
        <v>444</v>
      </c>
      <c r="E61" s="1">
        <v>444</v>
      </c>
      <c r="H61" s="15" t="s">
        <v>10</v>
      </c>
      <c r="I61" s="19"/>
    </row>
    <row r="62" spans="1:9">
      <c r="A62" s="8">
        <v>45876</v>
      </c>
      <c r="B62" s="1">
        <v>639</v>
      </c>
      <c r="C62" s="18" t="s">
        <v>102</v>
      </c>
      <c r="D62" s="1">
        <v>60</v>
      </c>
      <c r="E62" s="1">
        <v>60</v>
      </c>
      <c r="H62" s="15" t="s">
        <v>10</v>
      </c>
      <c r="I62" s="19"/>
    </row>
    <row r="63" spans="1:9">
      <c r="A63" s="8">
        <v>45876</v>
      </c>
      <c r="B63" s="1">
        <v>9843</v>
      </c>
      <c r="C63" s="18" t="s">
        <v>101</v>
      </c>
      <c r="D63" s="1">
        <v>60</v>
      </c>
      <c r="E63" s="1">
        <v>60</v>
      </c>
      <c r="H63" s="15" t="s">
        <v>10</v>
      </c>
      <c r="I63" s="19"/>
    </row>
    <row r="64" spans="1:9">
      <c r="A64" s="8">
        <v>45876</v>
      </c>
      <c r="B64" s="1">
        <v>1909</v>
      </c>
      <c r="C64" s="18" t="s">
        <v>83</v>
      </c>
      <c r="D64" s="1">
        <v>198</v>
      </c>
      <c r="E64" s="1">
        <v>198</v>
      </c>
      <c r="H64" s="15" t="s">
        <v>10</v>
      </c>
      <c r="I64" s="19"/>
    </row>
    <row r="65" spans="1:9">
      <c r="A65" s="8">
        <v>45876</v>
      </c>
      <c r="B65" s="1">
        <v>9630</v>
      </c>
      <c r="C65" s="18" t="s">
        <v>116</v>
      </c>
      <c r="D65" s="1">
        <v>257</v>
      </c>
      <c r="E65" s="1">
        <v>257</v>
      </c>
      <c r="H65" s="15" t="s">
        <v>10</v>
      </c>
      <c r="I65" s="19"/>
    </row>
    <row r="66" spans="1:9">
      <c r="A66" s="8">
        <v>45876</v>
      </c>
      <c r="B66" s="1">
        <v>9625</v>
      </c>
      <c r="C66" s="18" t="s">
        <v>81</v>
      </c>
      <c r="D66" s="1">
        <v>49</v>
      </c>
      <c r="E66" s="1">
        <v>49</v>
      </c>
      <c r="H66" s="15" t="s">
        <v>10</v>
      </c>
      <c r="I66" s="19"/>
    </row>
    <row r="67" spans="1:9">
      <c r="A67" s="8">
        <v>45876</v>
      </c>
      <c r="B67" s="1">
        <v>9627</v>
      </c>
      <c r="C67" s="18" t="s">
        <v>82</v>
      </c>
      <c r="D67" s="1">
        <v>12</v>
      </c>
      <c r="E67" s="1">
        <v>12</v>
      </c>
      <c r="H67" s="15" t="s">
        <v>10</v>
      </c>
      <c r="I67" s="19"/>
    </row>
    <row r="68" spans="1:9">
      <c r="A68" s="8">
        <v>45877</v>
      </c>
      <c r="B68" s="1">
        <v>9839</v>
      </c>
      <c r="C68" s="18" t="s">
        <v>93</v>
      </c>
      <c r="D68" s="1">
        <v>564</v>
      </c>
      <c r="E68" s="1">
        <v>564</v>
      </c>
      <c r="H68" s="15" t="s">
        <v>10</v>
      </c>
      <c r="I68" s="19">
        <f>SUM(E68:E77)</f>
        <v>4519</v>
      </c>
    </row>
    <row r="69" spans="1:9">
      <c r="A69" s="8">
        <v>45877</v>
      </c>
      <c r="B69" s="1">
        <v>9623</v>
      </c>
      <c r="C69" s="18" t="s">
        <v>87</v>
      </c>
      <c r="D69" s="1">
        <v>200</v>
      </c>
      <c r="E69" s="1">
        <v>200</v>
      </c>
      <c r="H69" s="15" t="s">
        <v>10</v>
      </c>
      <c r="I69" s="19"/>
    </row>
    <row r="70" spans="1:9">
      <c r="A70" s="8">
        <v>45877</v>
      </c>
      <c r="B70" s="1">
        <v>9909</v>
      </c>
      <c r="C70" s="18" t="s">
        <v>86</v>
      </c>
      <c r="D70" s="1">
        <v>636</v>
      </c>
      <c r="E70" s="1">
        <v>636</v>
      </c>
      <c r="H70" s="15" t="s">
        <v>10</v>
      </c>
      <c r="I70" s="19"/>
    </row>
    <row r="71" spans="1:9">
      <c r="A71" s="8">
        <v>45877</v>
      </c>
      <c r="B71" s="1">
        <v>9908</v>
      </c>
      <c r="C71" s="18" t="s">
        <v>89</v>
      </c>
      <c r="D71" s="1">
        <v>825</v>
      </c>
      <c r="E71" s="1">
        <v>825</v>
      </c>
      <c r="H71" s="15" t="s">
        <v>10</v>
      </c>
      <c r="I71" s="19"/>
    </row>
    <row r="72" spans="1:9">
      <c r="A72" s="8">
        <v>45877</v>
      </c>
      <c r="B72" s="1">
        <v>9845</v>
      </c>
      <c r="C72" s="18" t="s">
        <v>80</v>
      </c>
      <c r="D72" s="1">
        <v>765</v>
      </c>
      <c r="E72" s="1">
        <v>765</v>
      </c>
      <c r="H72" s="15" t="s">
        <v>10</v>
      </c>
      <c r="I72" s="19"/>
    </row>
    <row r="73" spans="1:9">
      <c r="A73" s="8">
        <v>45877</v>
      </c>
      <c r="B73" s="1">
        <v>9632</v>
      </c>
      <c r="C73" s="18" t="s">
        <v>75</v>
      </c>
      <c r="D73" s="1">
        <v>428</v>
      </c>
      <c r="E73" s="1">
        <v>428</v>
      </c>
      <c r="H73" s="15" t="s">
        <v>10</v>
      </c>
      <c r="I73" s="19"/>
    </row>
    <row r="74" spans="1:9">
      <c r="A74" s="8">
        <v>45877</v>
      </c>
      <c r="B74" s="1">
        <v>639</v>
      </c>
      <c r="C74" s="18" t="s">
        <v>102</v>
      </c>
      <c r="D74" s="1">
        <v>660</v>
      </c>
      <c r="E74" s="1">
        <v>660</v>
      </c>
      <c r="H74" s="15" t="s">
        <v>10</v>
      </c>
      <c r="I74" s="19"/>
    </row>
    <row r="75" spans="1:9">
      <c r="A75" s="8">
        <v>45877</v>
      </c>
      <c r="B75" s="1">
        <v>9842</v>
      </c>
      <c r="C75" s="18" t="s">
        <v>118</v>
      </c>
      <c r="D75" s="1">
        <v>198</v>
      </c>
      <c r="E75" s="1">
        <v>198</v>
      </c>
      <c r="H75" s="15" t="s">
        <v>10</v>
      </c>
      <c r="I75" s="19"/>
    </row>
    <row r="76" spans="1:9">
      <c r="A76" s="8">
        <v>45877</v>
      </c>
      <c r="B76" s="1">
        <v>9625</v>
      </c>
      <c r="C76" s="18" t="s">
        <v>81</v>
      </c>
      <c r="D76" s="1">
        <v>147</v>
      </c>
      <c r="E76" s="1">
        <v>147</v>
      </c>
      <c r="H76" s="15" t="s">
        <v>10</v>
      </c>
      <c r="I76" s="19"/>
    </row>
    <row r="77" spans="1:9">
      <c r="A77" s="8">
        <v>45877</v>
      </c>
      <c r="B77" s="1">
        <v>9637</v>
      </c>
      <c r="C77" s="18" t="s">
        <v>115</v>
      </c>
      <c r="D77" s="1">
        <v>96</v>
      </c>
      <c r="E77" s="1">
        <v>96</v>
      </c>
      <c r="H77" s="15" t="s">
        <v>10</v>
      </c>
      <c r="I77" s="19"/>
    </row>
    <row r="78" spans="1:9">
      <c r="A78" s="8">
        <v>45878</v>
      </c>
      <c r="B78" s="1">
        <v>9845</v>
      </c>
      <c r="C78" s="18" t="s">
        <v>80</v>
      </c>
      <c r="D78" s="1">
        <v>596</v>
      </c>
      <c r="E78" s="1">
        <v>596</v>
      </c>
      <c r="H78" s="15" t="s">
        <v>10</v>
      </c>
      <c r="I78" s="19">
        <f>SUM(E78:E93)</f>
        <v>7770</v>
      </c>
    </row>
    <row r="79" spans="1:9">
      <c r="A79" s="8">
        <v>45878</v>
      </c>
      <c r="B79" s="1">
        <v>1845</v>
      </c>
      <c r="C79" s="18" t="s">
        <v>85</v>
      </c>
      <c r="D79" s="1">
        <v>588</v>
      </c>
      <c r="E79" s="1">
        <v>588</v>
      </c>
      <c r="H79" s="15" t="s">
        <v>10</v>
      </c>
      <c r="I79" s="19"/>
    </row>
    <row r="80" spans="1:9">
      <c r="A80" s="8">
        <v>45878</v>
      </c>
      <c r="B80" s="1">
        <v>9845</v>
      </c>
      <c r="C80" s="18" t="s">
        <v>80</v>
      </c>
      <c r="D80" s="1">
        <v>580</v>
      </c>
      <c r="E80" s="1">
        <v>580</v>
      </c>
      <c r="H80" s="15" t="s">
        <v>10</v>
      </c>
      <c r="I80" s="19"/>
    </row>
    <row r="81" spans="1:9">
      <c r="A81" s="8">
        <v>45878</v>
      </c>
      <c r="B81" s="1">
        <v>9909</v>
      </c>
      <c r="C81" s="18" t="s">
        <v>86</v>
      </c>
      <c r="D81" s="1">
        <v>357</v>
      </c>
      <c r="E81" s="1">
        <v>357</v>
      </c>
      <c r="H81" s="15" t="s">
        <v>10</v>
      </c>
      <c r="I81" s="19"/>
    </row>
    <row r="82" spans="1:9">
      <c r="A82" s="8">
        <v>45878</v>
      </c>
      <c r="B82" s="1">
        <v>1909</v>
      </c>
      <c r="C82" s="18" t="s">
        <v>83</v>
      </c>
      <c r="D82" s="1">
        <v>357</v>
      </c>
      <c r="E82" s="1">
        <v>357</v>
      </c>
      <c r="H82" s="15" t="s">
        <v>10</v>
      </c>
      <c r="I82" s="19"/>
    </row>
    <row r="83" spans="1:9">
      <c r="A83" s="8">
        <v>45878</v>
      </c>
      <c r="B83" s="1">
        <v>9838</v>
      </c>
      <c r="C83" s="18" t="s">
        <v>113</v>
      </c>
      <c r="D83" s="1">
        <v>84</v>
      </c>
      <c r="E83" s="1">
        <v>84</v>
      </c>
      <c r="H83" s="15" t="s">
        <v>10</v>
      </c>
      <c r="I83" s="19"/>
    </row>
    <row r="84" spans="1:9">
      <c r="A84" s="8">
        <v>45878</v>
      </c>
      <c r="B84" s="1">
        <v>1630</v>
      </c>
      <c r="C84" s="18" t="s">
        <v>120</v>
      </c>
      <c r="D84" s="1">
        <v>138</v>
      </c>
      <c r="E84" s="1">
        <v>138</v>
      </c>
      <c r="H84" s="15" t="s">
        <v>10</v>
      </c>
      <c r="I84" s="19"/>
    </row>
    <row r="85" spans="1:9">
      <c r="A85" s="8">
        <v>45878</v>
      </c>
      <c r="B85" s="1">
        <v>650</v>
      </c>
      <c r="C85" s="18" t="s">
        <v>92</v>
      </c>
      <c r="D85" s="1">
        <v>600</v>
      </c>
      <c r="E85" s="1">
        <v>600</v>
      </c>
      <c r="H85" s="15" t="s">
        <v>10</v>
      </c>
      <c r="I85" s="19"/>
    </row>
    <row r="86" spans="1:9">
      <c r="A86" s="8">
        <v>45878</v>
      </c>
      <c r="B86" s="1">
        <v>651</v>
      </c>
      <c r="C86" s="18" t="s">
        <v>119</v>
      </c>
      <c r="D86" s="1">
        <v>300</v>
      </c>
      <c r="E86" s="1">
        <v>300</v>
      </c>
      <c r="H86" s="15" t="s">
        <v>10</v>
      </c>
      <c r="I86" s="19"/>
    </row>
    <row r="87" spans="1:9">
      <c r="A87" s="8">
        <v>45878</v>
      </c>
      <c r="B87" s="1">
        <v>9908</v>
      </c>
      <c r="C87" s="18" t="s">
        <v>89</v>
      </c>
      <c r="D87" s="1">
        <v>460</v>
      </c>
      <c r="E87" s="1">
        <v>460</v>
      </c>
      <c r="H87" s="15" t="s">
        <v>10</v>
      </c>
      <c r="I87" s="19"/>
    </row>
    <row r="88" spans="1:9">
      <c r="A88" s="8">
        <v>45878</v>
      </c>
      <c r="B88" s="1">
        <v>1908</v>
      </c>
      <c r="C88" s="18" t="s">
        <v>77</v>
      </c>
      <c r="D88" s="1">
        <v>452</v>
      </c>
      <c r="E88" s="1">
        <v>452</v>
      </c>
      <c r="H88" s="15" t="s">
        <v>10</v>
      </c>
      <c r="I88" s="19"/>
    </row>
    <row r="89" spans="1:9">
      <c r="A89" s="8">
        <v>45878</v>
      </c>
      <c r="B89" s="1">
        <v>9908</v>
      </c>
      <c r="C89" s="18" t="s">
        <v>89</v>
      </c>
      <c r="D89" s="1">
        <v>444</v>
      </c>
      <c r="E89" s="1">
        <v>444</v>
      </c>
      <c r="H89" s="15" t="s">
        <v>10</v>
      </c>
      <c r="I89" s="19"/>
    </row>
    <row r="90" spans="1:9">
      <c r="A90" s="8">
        <v>45878</v>
      </c>
      <c r="B90" s="1">
        <v>639</v>
      </c>
      <c r="C90" s="18" t="s">
        <v>102</v>
      </c>
      <c r="D90" s="1">
        <v>972</v>
      </c>
      <c r="E90" s="1">
        <v>972</v>
      </c>
      <c r="H90" s="15" t="s">
        <v>10</v>
      </c>
      <c r="I90" s="19"/>
    </row>
    <row r="91" spans="1:9">
      <c r="A91" s="8">
        <v>45878</v>
      </c>
      <c r="B91" s="1">
        <v>9839</v>
      </c>
      <c r="C91" s="18" t="s">
        <v>93</v>
      </c>
      <c r="D91" s="1">
        <v>972</v>
      </c>
      <c r="E91" s="1">
        <v>972</v>
      </c>
      <c r="H91" s="15" t="s">
        <v>10</v>
      </c>
      <c r="I91" s="19"/>
    </row>
    <row r="92" spans="1:9">
      <c r="A92" s="8">
        <v>45878</v>
      </c>
      <c r="B92" s="1">
        <v>9632</v>
      </c>
      <c r="C92" s="18" t="s">
        <v>75</v>
      </c>
      <c r="D92" s="1">
        <v>435</v>
      </c>
      <c r="E92" s="1">
        <v>435</v>
      </c>
      <c r="H92" s="15" t="s">
        <v>10</v>
      </c>
      <c r="I92" s="19"/>
    </row>
    <row r="93" spans="1:9">
      <c r="A93" s="8">
        <v>45878</v>
      </c>
      <c r="B93" s="1">
        <v>1632</v>
      </c>
      <c r="C93" s="18" t="s">
        <v>78</v>
      </c>
      <c r="D93" s="1">
        <v>435</v>
      </c>
      <c r="E93" s="1">
        <v>435</v>
      </c>
      <c r="H93" s="15" t="s">
        <v>10</v>
      </c>
      <c r="I93" s="19"/>
    </row>
    <row r="94" spans="1:9">
      <c r="A94" s="8">
        <v>45879</v>
      </c>
      <c r="B94" s="1">
        <v>9845</v>
      </c>
      <c r="C94" s="18" t="s">
        <v>80</v>
      </c>
      <c r="D94" s="1">
        <v>740</v>
      </c>
      <c r="E94" s="1">
        <v>740</v>
      </c>
      <c r="H94" s="15" t="s">
        <v>10</v>
      </c>
      <c r="I94" s="19">
        <f>SUM(E94:E102)</f>
        <v>5442</v>
      </c>
    </row>
    <row r="95" spans="1:9">
      <c r="A95" s="8">
        <v>45879</v>
      </c>
      <c r="B95" s="1">
        <v>9845</v>
      </c>
      <c r="C95" s="18" t="s">
        <v>80</v>
      </c>
      <c r="D95" s="1">
        <v>740</v>
      </c>
      <c r="E95" s="1">
        <v>740</v>
      </c>
      <c r="H95" s="15" t="s">
        <v>10</v>
      </c>
      <c r="I95" s="19"/>
    </row>
    <row r="96" spans="1:9">
      <c r="A96" s="8">
        <v>45879</v>
      </c>
      <c r="B96" s="1">
        <v>9908</v>
      </c>
      <c r="C96" s="18" t="s">
        <v>89</v>
      </c>
      <c r="D96" s="1">
        <v>790</v>
      </c>
      <c r="E96" s="1">
        <v>790</v>
      </c>
      <c r="H96" s="15" t="s">
        <v>10</v>
      </c>
      <c r="I96" s="19"/>
    </row>
    <row r="97" spans="1:9">
      <c r="A97" s="8">
        <v>45879</v>
      </c>
      <c r="B97" s="1">
        <v>9909</v>
      </c>
      <c r="C97" s="18" t="s">
        <v>86</v>
      </c>
      <c r="D97" s="1">
        <v>638</v>
      </c>
      <c r="E97" s="1">
        <v>638</v>
      </c>
      <c r="H97" s="15" t="s">
        <v>10</v>
      </c>
      <c r="I97" s="19"/>
    </row>
    <row r="98" spans="1:9">
      <c r="A98" s="8">
        <v>45879</v>
      </c>
      <c r="B98" s="1">
        <v>9636</v>
      </c>
      <c r="C98" s="18" t="s">
        <v>112</v>
      </c>
      <c r="D98" s="1">
        <v>18</v>
      </c>
      <c r="E98" s="1">
        <v>18</v>
      </c>
      <c r="H98" s="15" t="s">
        <v>10</v>
      </c>
      <c r="I98" s="19"/>
    </row>
    <row r="99" spans="1:9">
      <c r="A99" s="8">
        <v>45879</v>
      </c>
      <c r="B99" s="1">
        <v>9631</v>
      </c>
      <c r="C99" s="18" t="s">
        <v>111</v>
      </c>
      <c r="D99" s="1">
        <v>6</v>
      </c>
      <c r="E99" s="1">
        <v>6</v>
      </c>
      <c r="H99" s="15" t="s">
        <v>10</v>
      </c>
      <c r="I99" s="19"/>
    </row>
    <row r="100" spans="1:9">
      <c r="A100" s="8">
        <v>45879</v>
      </c>
      <c r="B100" s="1">
        <v>639</v>
      </c>
      <c r="C100" s="18" t="s">
        <v>102</v>
      </c>
      <c r="D100" s="1">
        <v>945</v>
      </c>
      <c r="E100" s="1">
        <v>945</v>
      </c>
      <c r="H100" s="15" t="s">
        <v>10</v>
      </c>
      <c r="I100" s="19"/>
    </row>
    <row r="101" spans="1:9">
      <c r="A101" s="8">
        <v>45879</v>
      </c>
      <c r="B101" s="1">
        <v>9839</v>
      </c>
      <c r="C101" s="18" t="s">
        <v>93</v>
      </c>
      <c r="D101" s="1">
        <v>945</v>
      </c>
      <c r="E101" s="1">
        <v>945</v>
      </c>
      <c r="H101" s="15" t="s">
        <v>10</v>
      </c>
      <c r="I101" s="19"/>
    </row>
    <row r="102" spans="1:9">
      <c r="A102" s="8">
        <v>45879</v>
      </c>
      <c r="B102" s="1">
        <v>650</v>
      </c>
      <c r="C102" s="18" t="s">
        <v>92</v>
      </c>
      <c r="D102" s="1">
        <v>620</v>
      </c>
      <c r="E102" s="1">
        <v>620</v>
      </c>
      <c r="H102" s="15" t="s">
        <v>10</v>
      </c>
      <c r="I102" s="19"/>
    </row>
    <row r="103" spans="1:9">
      <c r="A103" s="8">
        <v>45880</v>
      </c>
      <c r="B103" s="23">
        <v>9625</v>
      </c>
      <c r="C103" s="18" t="s">
        <v>81</v>
      </c>
      <c r="D103" s="1">
        <v>870</v>
      </c>
      <c r="E103" s="1">
        <v>870</v>
      </c>
      <c r="H103" s="15" t="s">
        <v>10</v>
      </c>
      <c r="I103" s="19">
        <f>SUM(E103:E113)</f>
        <v>5216</v>
      </c>
    </row>
    <row r="104" spans="1:9">
      <c r="A104" s="8">
        <v>45880</v>
      </c>
      <c r="B104" s="1">
        <v>9623</v>
      </c>
      <c r="C104" s="18" t="s">
        <v>87</v>
      </c>
      <c r="D104" s="1">
        <v>292</v>
      </c>
      <c r="E104" s="1">
        <v>292</v>
      </c>
      <c r="H104" s="15" t="s">
        <v>10</v>
      </c>
      <c r="I104" s="19"/>
    </row>
    <row r="105" spans="1:9">
      <c r="A105" s="8">
        <v>45880</v>
      </c>
      <c r="B105" s="1">
        <v>1632</v>
      </c>
      <c r="C105" s="18" t="s">
        <v>78</v>
      </c>
      <c r="D105" s="1">
        <v>604</v>
      </c>
      <c r="E105" s="1">
        <v>604</v>
      </c>
      <c r="H105" s="15" t="s">
        <v>10</v>
      </c>
      <c r="I105" s="19"/>
    </row>
    <row r="106" spans="1:9">
      <c r="A106" s="8">
        <v>45880</v>
      </c>
      <c r="B106" s="1">
        <v>9842</v>
      </c>
      <c r="C106" s="18" t="s">
        <v>118</v>
      </c>
      <c r="D106" s="1">
        <v>177</v>
      </c>
      <c r="E106" s="1">
        <v>177</v>
      </c>
      <c r="H106" s="15" t="s">
        <v>10</v>
      </c>
      <c r="I106" s="19"/>
    </row>
    <row r="107" spans="1:9">
      <c r="A107" s="8">
        <v>45880</v>
      </c>
      <c r="B107" s="1">
        <v>9636</v>
      </c>
      <c r="C107" s="18" t="s">
        <v>112</v>
      </c>
      <c r="D107" s="1">
        <v>140</v>
      </c>
      <c r="E107" s="1">
        <v>140</v>
      </c>
      <c r="H107" s="15" t="s">
        <v>10</v>
      </c>
      <c r="I107" s="19"/>
    </row>
    <row r="108" spans="1:9">
      <c r="A108" s="8">
        <v>45880</v>
      </c>
      <c r="B108" s="1">
        <v>9632</v>
      </c>
      <c r="C108" s="18" t="s">
        <v>75</v>
      </c>
      <c r="D108" s="1">
        <v>380</v>
      </c>
      <c r="E108" s="1">
        <v>380</v>
      </c>
      <c r="H108" s="15" t="s">
        <v>10</v>
      </c>
      <c r="I108" s="19"/>
    </row>
    <row r="109" spans="1:9">
      <c r="A109" s="8">
        <v>45880</v>
      </c>
      <c r="B109" s="1">
        <v>9637</v>
      </c>
      <c r="C109" s="18" t="s">
        <v>115</v>
      </c>
      <c r="D109" s="1">
        <v>248</v>
      </c>
      <c r="E109" s="1">
        <v>248</v>
      </c>
      <c r="H109" s="15" t="s">
        <v>10</v>
      </c>
      <c r="I109" s="19"/>
    </row>
    <row r="110" spans="1:9">
      <c r="A110" s="8">
        <v>45880</v>
      </c>
      <c r="B110" s="1">
        <v>9630</v>
      </c>
      <c r="C110" s="18" t="s">
        <v>116</v>
      </c>
      <c r="D110" s="1">
        <v>132</v>
      </c>
      <c r="E110" s="1">
        <v>132</v>
      </c>
      <c r="H110" s="15" t="s">
        <v>10</v>
      </c>
      <c r="I110" s="19"/>
    </row>
    <row r="111" spans="1:9">
      <c r="A111" s="8">
        <v>45880</v>
      </c>
      <c r="B111" s="1">
        <v>9845</v>
      </c>
      <c r="C111" s="18" t="s">
        <v>80</v>
      </c>
      <c r="D111" s="1">
        <v>1458</v>
      </c>
      <c r="E111" s="1">
        <v>1458</v>
      </c>
      <c r="H111" s="15" t="s">
        <v>10</v>
      </c>
      <c r="I111" s="19"/>
    </row>
    <row r="112" spans="1:9">
      <c r="A112" s="8">
        <v>45880</v>
      </c>
      <c r="B112" s="1">
        <v>9908</v>
      </c>
      <c r="C112" s="18" t="s">
        <v>89</v>
      </c>
      <c r="D112" s="1">
        <v>835</v>
      </c>
      <c r="E112" s="1">
        <v>835</v>
      </c>
      <c r="H112" s="15" t="s">
        <v>10</v>
      </c>
      <c r="I112" s="19"/>
    </row>
    <row r="113" spans="1:9">
      <c r="A113" s="8">
        <v>45880</v>
      </c>
      <c r="B113" s="1">
        <v>9909</v>
      </c>
      <c r="C113" s="18" t="s">
        <v>86</v>
      </c>
      <c r="D113" s="1">
        <v>80</v>
      </c>
      <c r="E113" s="1">
        <v>80</v>
      </c>
      <c r="H113" s="15" t="s">
        <v>10</v>
      </c>
      <c r="I113" s="19"/>
    </row>
    <row r="114" spans="1:9">
      <c r="A114" s="8">
        <v>45881</v>
      </c>
      <c r="B114" s="1">
        <v>639</v>
      </c>
      <c r="C114" s="18" t="s">
        <v>102</v>
      </c>
      <c r="D114" s="1">
        <v>660</v>
      </c>
      <c r="E114" s="1">
        <v>660</v>
      </c>
      <c r="H114" s="15" t="s">
        <v>10</v>
      </c>
      <c r="I114" s="19">
        <f>SUM(E114:E125)</f>
        <v>5120</v>
      </c>
    </row>
    <row r="115" spans="1:9">
      <c r="A115" s="8">
        <v>45881</v>
      </c>
      <c r="B115" s="1">
        <v>639</v>
      </c>
      <c r="C115" s="18" t="s">
        <v>102</v>
      </c>
      <c r="D115" s="1">
        <v>660</v>
      </c>
      <c r="E115" s="1">
        <v>660</v>
      </c>
      <c r="H115" s="15" t="s">
        <v>10</v>
      </c>
      <c r="I115" s="19"/>
    </row>
    <row r="116" spans="1:9">
      <c r="A116" s="8">
        <v>45881</v>
      </c>
      <c r="B116" s="1">
        <v>650</v>
      </c>
      <c r="C116" s="18" t="s">
        <v>92</v>
      </c>
      <c r="D116" s="1">
        <v>660</v>
      </c>
      <c r="E116" s="1">
        <v>660</v>
      </c>
      <c r="H116" s="15" t="s">
        <v>10</v>
      </c>
      <c r="I116" s="19"/>
    </row>
    <row r="117" spans="1:9">
      <c r="A117" s="8">
        <v>45881</v>
      </c>
      <c r="B117" s="1">
        <v>9845</v>
      </c>
      <c r="C117" s="18" t="s">
        <v>80</v>
      </c>
      <c r="D117" s="1">
        <v>1230</v>
      </c>
      <c r="E117" s="1">
        <v>1230</v>
      </c>
      <c r="H117" s="15" t="s">
        <v>10</v>
      </c>
      <c r="I117" s="19"/>
    </row>
    <row r="118" spans="1:9">
      <c r="A118" s="8">
        <v>45881</v>
      </c>
      <c r="B118" s="1">
        <v>9908</v>
      </c>
      <c r="C118" s="18" t="s">
        <v>89</v>
      </c>
      <c r="D118" s="1">
        <v>969</v>
      </c>
      <c r="E118" s="1">
        <v>969</v>
      </c>
      <c r="H118" s="15" t="s">
        <v>10</v>
      </c>
      <c r="I118" s="19"/>
    </row>
    <row r="119" spans="1:9">
      <c r="A119" s="8">
        <v>45881</v>
      </c>
      <c r="B119" s="1">
        <v>9909</v>
      </c>
      <c r="C119" s="18" t="s">
        <v>86</v>
      </c>
      <c r="D119" s="1">
        <v>180</v>
      </c>
      <c r="E119" s="1">
        <v>180</v>
      </c>
      <c r="H119" s="15" t="s">
        <v>10</v>
      </c>
      <c r="I119" s="19"/>
    </row>
    <row r="120" spans="1:9">
      <c r="A120" s="8">
        <v>45881</v>
      </c>
      <c r="B120" s="1">
        <v>1909</v>
      </c>
      <c r="C120" s="18" t="s">
        <v>83</v>
      </c>
      <c r="D120" s="1">
        <v>153</v>
      </c>
      <c r="E120" s="1">
        <v>153</v>
      </c>
      <c r="H120" s="15" t="s">
        <v>10</v>
      </c>
      <c r="I120" s="19"/>
    </row>
    <row r="121" spans="1:9">
      <c r="A121" s="8">
        <v>45881</v>
      </c>
      <c r="B121" s="1">
        <v>9843</v>
      </c>
      <c r="C121" s="18" t="s">
        <v>101</v>
      </c>
      <c r="D121" s="1">
        <v>87</v>
      </c>
      <c r="E121" s="1">
        <v>87</v>
      </c>
      <c r="H121" s="15" t="s">
        <v>10</v>
      </c>
      <c r="I121" s="19"/>
    </row>
    <row r="122" spans="1:9">
      <c r="A122" s="8">
        <v>45881</v>
      </c>
      <c r="B122" s="1">
        <v>9631</v>
      </c>
      <c r="C122" s="18" t="s">
        <v>111</v>
      </c>
      <c r="D122" s="1">
        <v>194</v>
      </c>
      <c r="E122" s="1">
        <v>194</v>
      </c>
      <c r="H122" s="15" t="s">
        <v>10</v>
      </c>
      <c r="I122" s="19"/>
    </row>
    <row r="123" spans="1:9">
      <c r="A123" s="8">
        <v>45881</v>
      </c>
      <c r="B123" s="1">
        <v>1630</v>
      </c>
      <c r="C123" s="18" t="s">
        <v>120</v>
      </c>
      <c r="D123" s="1">
        <v>189</v>
      </c>
      <c r="E123" s="1">
        <v>189</v>
      </c>
      <c r="H123" s="15" t="s">
        <v>10</v>
      </c>
      <c r="I123" s="19"/>
    </row>
    <row r="124" spans="1:9">
      <c r="A124" s="8">
        <v>45881</v>
      </c>
      <c r="B124" s="1">
        <v>9632</v>
      </c>
      <c r="C124" s="18" t="s">
        <v>75</v>
      </c>
      <c r="D124" s="1">
        <v>129</v>
      </c>
      <c r="E124" s="1">
        <v>129</v>
      </c>
      <c r="H124" s="15" t="s">
        <v>10</v>
      </c>
      <c r="I124" s="19"/>
    </row>
    <row r="125" spans="1:9">
      <c r="A125" s="8">
        <v>45881</v>
      </c>
      <c r="B125" s="1">
        <v>9623</v>
      </c>
      <c r="C125" s="18" t="s">
        <v>87</v>
      </c>
      <c r="D125" s="1">
        <v>9</v>
      </c>
      <c r="E125" s="1">
        <v>9</v>
      </c>
      <c r="H125" s="15" t="s">
        <v>10</v>
      </c>
      <c r="I125" s="19"/>
    </row>
    <row r="126" spans="1:9">
      <c r="A126" s="8">
        <v>45882</v>
      </c>
      <c r="B126" s="1">
        <v>9845</v>
      </c>
      <c r="C126" s="18" t="s">
        <v>80</v>
      </c>
      <c r="D126" s="1">
        <v>1770</v>
      </c>
      <c r="E126" s="1">
        <v>1770</v>
      </c>
      <c r="H126" s="15" t="s">
        <v>10</v>
      </c>
      <c r="I126" s="19">
        <f>SUM(E126:E138)</f>
        <v>4235</v>
      </c>
    </row>
    <row r="127" spans="1:9">
      <c r="A127" s="8">
        <v>45882</v>
      </c>
      <c r="B127" s="1">
        <v>9908</v>
      </c>
      <c r="C127" s="18" t="s">
        <v>89</v>
      </c>
      <c r="D127" s="1">
        <v>775</v>
      </c>
      <c r="E127" s="1">
        <v>775</v>
      </c>
      <c r="H127" s="15" t="s">
        <v>10</v>
      </c>
      <c r="I127" s="19"/>
    </row>
    <row r="128" spans="1:9">
      <c r="A128" s="8">
        <v>45882</v>
      </c>
      <c r="B128" s="1">
        <v>9909</v>
      </c>
      <c r="C128" s="18" t="s">
        <v>86</v>
      </c>
      <c r="D128" s="1">
        <v>150</v>
      </c>
      <c r="E128" s="1">
        <v>150</v>
      </c>
      <c r="H128" s="15" t="s">
        <v>10</v>
      </c>
      <c r="I128" s="19"/>
    </row>
    <row r="129" spans="1:9">
      <c r="A129" s="8">
        <v>45882</v>
      </c>
      <c r="B129" s="1">
        <v>9838</v>
      </c>
      <c r="C129" s="18" t="s">
        <v>113</v>
      </c>
      <c r="D129" s="1">
        <v>64</v>
      </c>
      <c r="E129" s="1">
        <v>64</v>
      </c>
      <c r="H129" s="15" t="s">
        <v>10</v>
      </c>
      <c r="I129" s="19"/>
    </row>
    <row r="130" spans="1:9">
      <c r="A130" s="8">
        <v>45882</v>
      </c>
      <c r="B130" s="1">
        <v>9627</v>
      </c>
      <c r="C130" s="18" t="s">
        <v>82</v>
      </c>
      <c r="D130" s="1">
        <v>144</v>
      </c>
      <c r="E130" s="1">
        <v>144</v>
      </c>
      <c r="H130" s="15" t="s">
        <v>10</v>
      </c>
      <c r="I130" s="19"/>
    </row>
    <row r="131" spans="1:9">
      <c r="A131" s="8">
        <v>45882</v>
      </c>
      <c r="B131" s="1">
        <v>1845</v>
      </c>
      <c r="C131" s="18" t="s">
        <v>85</v>
      </c>
      <c r="D131" s="1">
        <v>10</v>
      </c>
      <c r="E131" s="1">
        <v>10</v>
      </c>
      <c r="H131" s="15" t="s">
        <v>10</v>
      </c>
      <c r="I131" s="19"/>
    </row>
    <row r="132" spans="1:9">
      <c r="A132" s="8">
        <v>45882</v>
      </c>
      <c r="B132" s="1">
        <v>9637</v>
      </c>
      <c r="C132" s="18" t="s">
        <v>115</v>
      </c>
      <c r="D132" s="1">
        <v>150</v>
      </c>
      <c r="E132" s="1">
        <v>150</v>
      </c>
      <c r="H132" s="15" t="s">
        <v>10</v>
      </c>
      <c r="I132" s="19"/>
    </row>
    <row r="133" spans="1:9">
      <c r="A133" s="8">
        <v>45882</v>
      </c>
      <c r="B133" s="1">
        <v>651</v>
      </c>
      <c r="C133" s="18" t="s">
        <v>119</v>
      </c>
      <c r="D133" s="1">
        <v>114</v>
      </c>
      <c r="E133" s="1">
        <v>114</v>
      </c>
      <c r="H133" s="15" t="s">
        <v>10</v>
      </c>
      <c r="I133" s="19"/>
    </row>
    <row r="134" spans="1:9">
      <c r="A134" s="8">
        <v>45882</v>
      </c>
      <c r="B134" s="1">
        <v>9636</v>
      </c>
      <c r="C134" s="18" t="s">
        <v>112</v>
      </c>
      <c r="D134" s="1">
        <v>82</v>
      </c>
      <c r="E134" s="1">
        <v>82</v>
      </c>
      <c r="H134" s="15" t="s">
        <v>10</v>
      </c>
      <c r="I134" s="19"/>
    </row>
    <row r="135" spans="1:9">
      <c r="A135" s="8">
        <v>45882</v>
      </c>
      <c r="B135" s="1">
        <v>1652</v>
      </c>
      <c r="C135" s="18" t="s">
        <v>104</v>
      </c>
      <c r="D135" s="1">
        <v>244</v>
      </c>
      <c r="E135" s="1">
        <v>244</v>
      </c>
      <c r="H135" s="15" t="s">
        <v>10</v>
      </c>
      <c r="I135" s="19"/>
    </row>
    <row r="136" spans="1:9">
      <c r="A136" s="8">
        <v>45882</v>
      </c>
      <c r="B136" s="1">
        <v>1653</v>
      </c>
      <c r="C136" s="18" t="s">
        <v>95</v>
      </c>
      <c r="D136" s="1">
        <v>244</v>
      </c>
      <c r="E136" s="1">
        <v>244</v>
      </c>
      <c r="H136" s="15" t="s">
        <v>10</v>
      </c>
      <c r="I136" s="19"/>
    </row>
    <row r="137" spans="1:9">
      <c r="A137" s="8">
        <v>45882</v>
      </c>
      <c r="B137" s="1">
        <v>1655</v>
      </c>
      <c r="C137" s="18" t="s">
        <v>121</v>
      </c>
      <c r="D137" s="1">
        <v>244</v>
      </c>
      <c r="E137" s="1">
        <v>244</v>
      </c>
      <c r="H137" s="15" t="s">
        <v>10</v>
      </c>
      <c r="I137" s="19"/>
    </row>
    <row r="138" spans="1:9">
      <c r="A138" s="8">
        <v>45882</v>
      </c>
      <c r="B138" s="1">
        <v>1656</v>
      </c>
      <c r="C138" s="18" t="s">
        <v>91</v>
      </c>
      <c r="D138" s="1">
        <v>244</v>
      </c>
      <c r="E138" s="1">
        <v>244</v>
      </c>
      <c r="H138" s="15" t="s">
        <v>10</v>
      </c>
      <c r="I138" s="19"/>
    </row>
    <row r="139" spans="1:9">
      <c r="A139" s="8">
        <v>45883</v>
      </c>
      <c r="B139" s="1">
        <v>9623</v>
      </c>
      <c r="C139" s="18" t="s">
        <v>87</v>
      </c>
      <c r="D139" s="1">
        <v>1124</v>
      </c>
      <c r="E139" s="1">
        <v>1124</v>
      </c>
      <c r="H139" s="15" t="s">
        <v>10</v>
      </c>
      <c r="I139" s="19">
        <f>SUM(E139:E150)</f>
        <v>5806</v>
      </c>
    </row>
    <row r="140" spans="1:9">
      <c r="A140" s="8">
        <v>45883</v>
      </c>
      <c r="B140" s="1">
        <v>9638</v>
      </c>
      <c r="C140" s="18" t="s">
        <v>114</v>
      </c>
      <c r="D140" s="1">
        <v>20</v>
      </c>
      <c r="E140" s="1">
        <v>20</v>
      </c>
      <c r="H140" s="15" t="s">
        <v>10</v>
      </c>
      <c r="I140" s="19"/>
    </row>
    <row r="141" spans="1:9">
      <c r="A141" s="8">
        <v>45883</v>
      </c>
      <c r="B141" s="1">
        <v>9631</v>
      </c>
      <c r="C141" s="18" t="s">
        <v>111</v>
      </c>
      <c r="D141" s="1">
        <v>354</v>
      </c>
      <c r="E141" s="1">
        <v>354</v>
      </c>
      <c r="H141" s="15" t="s">
        <v>10</v>
      </c>
      <c r="I141" s="19"/>
    </row>
    <row r="142" spans="1:9">
      <c r="A142" s="8">
        <v>45883</v>
      </c>
      <c r="B142" s="1">
        <v>9635</v>
      </c>
      <c r="C142" s="18" t="s">
        <v>122</v>
      </c>
      <c r="D142" s="1">
        <v>196</v>
      </c>
      <c r="E142" s="1">
        <v>196</v>
      </c>
      <c r="H142" s="15" t="s">
        <v>10</v>
      </c>
      <c r="I142" s="19"/>
    </row>
    <row r="143" spans="1:9">
      <c r="A143" s="8">
        <v>45883</v>
      </c>
      <c r="B143" s="1">
        <v>9625</v>
      </c>
      <c r="C143" s="18" t="s">
        <v>81</v>
      </c>
      <c r="D143" s="1">
        <v>356</v>
      </c>
      <c r="E143" s="1">
        <v>356</v>
      </c>
      <c r="H143" s="15" t="s">
        <v>10</v>
      </c>
      <c r="I143" s="19"/>
    </row>
    <row r="144" spans="1:9">
      <c r="A144" s="8">
        <v>45883</v>
      </c>
      <c r="B144" s="1">
        <v>9627</v>
      </c>
      <c r="C144" s="18" t="s">
        <v>82</v>
      </c>
      <c r="D144" s="1">
        <v>12</v>
      </c>
      <c r="E144" s="1">
        <v>12</v>
      </c>
      <c r="H144" s="15" t="s">
        <v>10</v>
      </c>
      <c r="I144" s="19"/>
    </row>
    <row r="145" spans="1:9">
      <c r="A145" s="8">
        <v>45883</v>
      </c>
      <c r="B145" s="1">
        <v>650</v>
      </c>
      <c r="C145" s="18" t="s">
        <v>92</v>
      </c>
      <c r="D145" s="1">
        <v>536</v>
      </c>
      <c r="E145" s="1">
        <v>536</v>
      </c>
      <c r="H145" s="15" t="s">
        <v>10</v>
      </c>
      <c r="I145" s="19"/>
    </row>
    <row r="146" spans="1:9">
      <c r="A146" s="8">
        <v>45883</v>
      </c>
      <c r="B146" s="1">
        <v>9839</v>
      </c>
      <c r="C146" s="18" t="s">
        <v>93</v>
      </c>
      <c r="D146" s="1">
        <v>248</v>
      </c>
      <c r="E146" s="1">
        <v>248</v>
      </c>
      <c r="H146" s="15" t="s">
        <v>10</v>
      </c>
      <c r="I146" s="19"/>
    </row>
    <row r="147" spans="1:9">
      <c r="A147" s="8">
        <v>45883</v>
      </c>
      <c r="B147" s="1">
        <v>639</v>
      </c>
      <c r="C147" s="18" t="s">
        <v>102</v>
      </c>
      <c r="D147" s="1">
        <v>658</v>
      </c>
      <c r="E147" s="1">
        <v>658</v>
      </c>
      <c r="H147" s="15" t="s">
        <v>10</v>
      </c>
      <c r="I147" s="19"/>
    </row>
    <row r="148" spans="1:9">
      <c r="A148" s="8">
        <v>45883</v>
      </c>
      <c r="B148" s="1">
        <v>9845</v>
      </c>
      <c r="C148" s="18" t="s">
        <v>80</v>
      </c>
      <c r="D148" s="1">
        <v>1328</v>
      </c>
      <c r="E148" s="1">
        <v>1328</v>
      </c>
      <c r="H148" s="15" t="s">
        <v>10</v>
      </c>
      <c r="I148" s="19"/>
    </row>
    <row r="149" spans="1:9">
      <c r="A149" s="8">
        <v>45883</v>
      </c>
      <c r="B149" s="1">
        <v>9908</v>
      </c>
      <c r="C149" s="18" t="s">
        <v>89</v>
      </c>
      <c r="D149" s="1">
        <v>570</v>
      </c>
      <c r="E149" s="1">
        <v>570</v>
      </c>
      <c r="H149" s="15" t="s">
        <v>10</v>
      </c>
      <c r="I149" s="19"/>
    </row>
    <row r="150" spans="1:9">
      <c r="A150" s="8">
        <v>45883</v>
      </c>
      <c r="B150" s="1">
        <v>9909</v>
      </c>
      <c r="C150" s="18" t="s">
        <v>86</v>
      </c>
      <c r="D150" s="1">
        <v>404</v>
      </c>
      <c r="E150" s="1">
        <v>404</v>
      </c>
      <c r="H150" s="15" t="s">
        <v>10</v>
      </c>
      <c r="I150" s="19"/>
    </row>
    <row r="151" spans="1:9">
      <c r="A151" s="8">
        <v>45884</v>
      </c>
      <c r="B151" s="1">
        <v>9632</v>
      </c>
      <c r="C151" s="18" t="s">
        <v>75</v>
      </c>
      <c r="D151" s="1">
        <v>604</v>
      </c>
      <c r="E151" s="1">
        <v>604</v>
      </c>
      <c r="H151" s="15" t="s">
        <v>10</v>
      </c>
      <c r="I151" s="19">
        <f>SUM(E151:E162)</f>
        <v>6818</v>
      </c>
    </row>
    <row r="152" spans="1:9">
      <c r="A152" s="8">
        <v>45884</v>
      </c>
      <c r="B152" s="1">
        <v>9625</v>
      </c>
      <c r="C152" s="18" t="s">
        <v>81</v>
      </c>
      <c r="D152" s="1">
        <v>556</v>
      </c>
      <c r="E152" s="1">
        <v>556</v>
      </c>
      <c r="H152" s="15" t="s">
        <v>10</v>
      </c>
      <c r="I152" s="19"/>
    </row>
    <row r="153" spans="1:9">
      <c r="A153" s="8">
        <v>45884</v>
      </c>
      <c r="B153" s="1">
        <v>639</v>
      </c>
      <c r="C153" s="18" t="s">
        <v>102</v>
      </c>
      <c r="D153" s="1">
        <v>1128</v>
      </c>
      <c r="E153" s="1">
        <v>1128</v>
      </c>
      <c r="H153" s="15" t="s">
        <v>10</v>
      </c>
      <c r="I153" s="19"/>
    </row>
    <row r="154" spans="1:9">
      <c r="A154" s="8">
        <v>45884</v>
      </c>
      <c r="B154" s="1">
        <v>650</v>
      </c>
      <c r="C154" s="18" t="s">
        <v>92</v>
      </c>
      <c r="D154" s="1">
        <v>564</v>
      </c>
      <c r="E154" s="1">
        <v>564</v>
      </c>
      <c r="H154" s="15" t="s">
        <v>10</v>
      </c>
      <c r="I154" s="19"/>
    </row>
    <row r="155" spans="1:9">
      <c r="A155" s="8">
        <v>45884</v>
      </c>
      <c r="B155" s="1">
        <v>9635</v>
      </c>
      <c r="C155" s="18" t="s">
        <v>122</v>
      </c>
      <c r="D155" s="1">
        <v>228</v>
      </c>
      <c r="E155" s="1">
        <v>228</v>
      </c>
      <c r="H155" s="15" t="s">
        <v>10</v>
      </c>
      <c r="I155" s="19"/>
    </row>
    <row r="156" spans="1:9">
      <c r="A156" s="8">
        <v>45884</v>
      </c>
      <c r="B156" s="1">
        <v>9845</v>
      </c>
      <c r="C156" s="18" t="s">
        <v>80</v>
      </c>
      <c r="D156" s="1">
        <v>894</v>
      </c>
      <c r="E156" s="1">
        <v>894</v>
      </c>
      <c r="H156" s="15" t="s">
        <v>10</v>
      </c>
      <c r="I156" s="19"/>
    </row>
    <row r="157" spans="1:9">
      <c r="A157" s="8">
        <v>45884</v>
      </c>
      <c r="B157" s="1">
        <v>9908</v>
      </c>
      <c r="C157" s="18" t="s">
        <v>89</v>
      </c>
      <c r="D157" s="1">
        <v>423</v>
      </c>
      <c r="E157" s="1">
        <v>423</v>
      </c>
      <c r="H157" s="15" t="s">
        <v>10</v>
      </c>
      <c r="I157" s="19"/>
    </row>
    <row r="158" spans="1:9">
      <c r="A158" s="8">
        <v>45884</v>
      </c>
      <c r="B158" s="1">
        <v>9909</v>
      </c>
      <c r="C158" s="18" t="s">
        <v>86</v>
      </c>
      <c r="D158" s="1">
        <v>453</v>
      </c>
      <c r="E158" s="1">
        <v>453</v>
      </c>
      <c r="H158" s="15" t="s">
        <v>10</v>
      </c>
      <c r="I158" s="19"/>
    </row>
    <row r="159" spans="1:9">
      <c r="A159" s="8">
        <v>45884</v>
      </c>
      <c r="B159" s="1">
        <v>9845</v>
      </c>
      <c r="C159" s="18" t="s">
        <v>80</v>
      </c>
      <c r="D159" s="1">
        <v>600</v>
      </c>
      <c r="E159" s="1">
        <v>600</v>
      </c>
      <c r="H159" s="15" t="s">
        <v>10</v>
      </c>
      <c r="I159" s="19"/>
    </row>
    <row r="160" spans="1:9">
      <c r="A160" s="8">
        <v>45884</v>
      </c>
      <c r="B160" s="1">
        <v>9908</v>
      </c>
      <c r="C160" s="18" t="s">
        <v>89</v>
      </c>
      <c r="D160" s="1">
        <v>300</v>
      </c>
      <c r="E160" s="1">
        <v>300</v>
      </c>
      <c r="H160" s="15" t="s">
        <v>10</v>
      </c>
      <c r="I160" s="19"/>
    </row>
    <row r="161" spans="1:9">
      <c r="A161" s="8">
        <v>45884</v>
      </c>
      <c r="B161" s="1">
        <v>9909</v>
      </c>
      <c r="C161" s="18" t="s">
        <v>86</v>
      </c>
      <c r="D161" s="1">
        <v>300</v>
      </c>
      <c r="E161" s="1">
        <v>300</v>
      </c>
      <c r="H161" s="15" t="s">
        <v>10</v>
      </c>
      <c r="I161" s="19"/>
    </row>
    <row r="162" spans="1:9">
      <c r="A162" s="8">
        <v>45884</v>
      </c>
      <c r="B162" s="1">
        <v>9623</v>
      </c>
      <c r="C162" s="18" t="s">
        <v>87</v>
      </c>
      <c r="D162" s="1">
        <v>768</v>
      </c>
      <c r="E162" s="1">
        <v>768</v>
      </c>
      <c r="H162" s="15" t="s">
        <v>10</v>
      </c>
      <c r="I162" s="19"/>
    </row>
    <row r="163" spans="1:9">
      <c r="A163" s="8">
        <v>45885</v>
      </c>
      <c r="B163" s="1">
        <v>9845</v>
      </c>
      <c r="C163" s="18" t="s">
        <v>80</v>
      </c>
      <c r="D163" s="1">
        <v>1489</v>
      </c>
      <c r="E163" s="1">
        <v>1489</v>
      </c>
      <c r="H163" s="15" t="s">
        <v>10</v>
      </c>
      <c r="I163" s="19">
        <f>SUM(E163:E168)</f>
        <v>5548</v>
      </c>
    </row>
    <row r="164" spans="1:9">
      <c r="A164" s="8">
        <v>45885</v>
      </c>
      <c r="B164" s="1">
        <v>9839</v>
      </c>
      <c r="C164" s="18" t="s">
        <v>93</v>
      </c>
      <c r="D164" s="1">
        <v>495</v>
      </c>
      <c r="E164" s="1">
        <v>495</v>
      </c>
      <c r="H164" s="15" t="s">
        <v>10</v>
      </c>
      <c r="I164" s="19"/>
    </row>
    <row r="165" spans="1:9">
      <c r="A165" s="8">
        <v>45885</v>
      </c>
      <c r="B165" s="1">
        <v>9908</v>
      </c>
      <c r="C165" s="18" t="s">
        <v>89</v>
      </c>
      <c r="D165" s="1">
        <v>834</v>
      </c>
      <c r="E165" s="1">
        <v>834</v>
      </c>
      <c r="H165" s="15" t="s">
        <v>10</v>
      </c>
      <c r="I165" s="19"/>
    </row>
    <row r="166" spans="1:9">
      <c r="A166" s="8">
        <v>45885</v>
      </c>
      <c r="B166" s="1">
        <v>9909</v>
      </c>
      <c r="C166" s="18" t="s">
        <v>86</v>
      </c>
      <c r="D166" s="1">
        <v>666</v>
      </c>
      <c r="E166" s="1">
        <v>666</v>
      </c>
      <c r="H166" s="15" t="s">
        <v>10</v>
      </c>
      <c r="I166" s="19"/>
    </row>
    <row r="167" spans="1:9">
      <c r="A167" s="8">
        <v>45885</v>
      </c>
      <c r="B167" s="1">
        <v>639</v>
      </c>
      <c r="C167" s="18" t="s">
        <v>102</v>
      </c>
      <c r="D167" s="1">
        <v>1122</v>
      </c>
      <c r="E167" s="1">
        <v>1122</v>
      </c>
      <c r="H167" s="15" t="s">
        <v>10</v>
      </c>
      <c r="I167" s="19"/>
    </row>
    <row r="168" spans="1:9">
      <c r="A168" s="8">
        <v>45885</v>
      </c>
      <c r="B168" s="1">
        <v>650</v>
      </c>
      <c r="C168" s="18" t="s">
        <v>92</v>
      </c>
      <c r="D168" s="1">
        <v>942</v>
      </c>
      <c r="E168" s="1">
        <v>942</v>
      </c>
      <c r="H168" s="15" t="s">
        <v>10</v>
      </c>
      <c r="I168" s="19"/>
    </row>
    <row r="169" spans="1:9">
      <c r="A169" s="8">
        <v>45886</v>
      </c>
      <c r="B169" s="1">
        <v>9623</v>
      </c>
      <c r="C169" s="18" t="s">
        <v>87</v>
      </c>
      <c r="D169" s="1">
        <v>693</v>
      </c>
      <c r="E169" s="1">
        <v>693</v>
      </c>
      <c r="H169" s="15" t="s">
        <v>10</v>
      </c>
      <c r="I169" s="19">
        <f>SUM(E169:E184)</f>
        <v>7462</v>
      </c>
    </row>
    <row r="170" spans="1:9">
      <c r="A170" s="8">
        <v>45886</v>
      </c>
      <c r="B170" s="1">
        <v>9632</v>
      </c>
      <c r="C170" s="18" t="s">
        <v>75</v>
      </c>
      <c r="D170" s="1">
        <v>510</v>
      </c>
      <c r="E170" s="1">
        <v>510</v>
      </c>
      <c r="H170" s="15" t="s">
        <v>10</v>
      </c>
      <c r="I170" s="19"/>
    </row>
    <row r="171" spans="1:9">
      <c r="A171" s="8">
        <v>45886</v>
      </c>
      <c r="B171" s="1">
        <v>9635</v>
      </c>
      <c r="C171" s="18" t="s">
        <v>122</v>
      </c>
      <c r="D171" s="1">
        <v>232</v>
      </c>
      <c r="E171" s="1">
        <v>232</v>
      </c>
      <c r="H171" s="15" t="s">
        <v>10</v>
      </c>
      <c r="I171" s="19"/>
    </row>
    <row r="172" spans="1:9">
      <c r="A172" s="8">
        <v>45886</v>
      </c>
      <c r="B172" s="1">
        <v>639</v>
      </c>
      <c r="C172" s="18" t="s">
        <v>102</v>
      </c>
      <c r="D172" s="1">
        <v>840</v>
      </c>
      <c r="E172" s="1">
        <v>840</v>
      </c>
      <c r="H172" s="15" t="s">
        <v>10</v>
      </c>
      <c r="I172" s="19"/>
    </row>
    <row r="173" spans="1:9">
      <c r="A173" s="8">
        <v>45886</v>
      </c>
      <c r="B173" s="1">
        <v>9839</v>
      </c>
      <c r="C173" s="18" t="s">
        <v>93</v>
      </c>
      <c r="D173" s="1">
        <v>708</v>
      </c>
      <c r="E173" s="1">
        <v>708</v>
      </c>
      <c r="H173" s="15" t="s">
        <v>10</v>
      </c>
      <c r="I173" s="19"/>
    </row>
    <row r="174" spans="1:9">
      <c r="A174" s="8">
        <v>45886</v>
      </c>
      <c r="B174" s="1">
        <v>9630</v>
      </c>
      <c r="C174" s="18" t="s">
        <v>116</v>
      </c>
      <c r="D174" s="1">
        <v>273</v>
      </c>
      <c r="E174" s="1">
        <v>273</v>
      </c>
      <c r="H174" s="15" t="s">
        <v>10</v>
      </c>
      <c r="I174" s="19"/>
    </row>
    <row r="175" spans="1:9">
      <c r="A175" s="8">
        <v>45886</v>
      </c>
      <c r="B175" s="1">
        <v>650</v>
      </c>
      <c r="C175" s="18" t="s">
        <v>92</v>
      </c>
      <c r="D175" s="1">
        <v>906</v>
      </c>
      <c r="E175" s="1">
        <v>906</v>
      </c>
      <c r="H175" s="15" t="s">
        <v>10</v>
      </c>
      <c r="I175" s="19"/>
    </row>
    <row r="176" spans="1:9">
      <c r="A176" s="8">
        <v>45886</v>
      </c>
      <c r="B176" s="1">
        <v>9843</v>
      </c>
      <c r="C176" s="18" t="s">
        <v>101</v>
      </c>
      <c r="D176" s="1">
        <v>120</v>
      </c>
      <c r="E176" s="1">
        <v>120</v>
      </c>
      <c r="H176" s="15" t="s">
        <v>10</v>
      </c>
      <c r="I176" s="19"/>
    </row>
    <row r="177" spans="1:9">
      <c r="A177" s="8">
        <v>45886</v>
      </c>
      <c r="B177" s="1">
        <v>9631</v>
      </c>
      <c r="C177" s="18" t="s">
        <v>111</v>
      </c>
      <c r="D177" s="1">
        <v>208</v>
      </c>
      <c r="E177" s="1">
        <v>208</v>
      </c>
      <c r="H177" s="15" t="s">
        <v>10</v>
      </c>
      <c r="I177" s="19"/>
    </row>
    <row r="178" spans="1:9">
      <c r="A178" s="8">
        <v>45886</v>
      </c>
      <c r="B178" s="1">
        <v>651</v>
      </c>
      <c r="C178" s="18" t="s">
        <v>119</v>
      </c>
      <c r="D178" s="1">
        <v>356</v>
      </c>
      <c r="E178" s="1">
        <v>356</v>
      </c>
      <c r="H178" s="15" t="s">
        <v>10</v>
      </c>
      <c r="I178" s="19"/>
    </row>
    <row r="179" spans="1:9">
      <c r="A179" s="8">
        <v>45886</v>
      </c>
      <c r="B179" s="1">
        <v>1845</v>
      </c>
      <c r="C179" s="18" t="s">
        <v>85</v>
      </c>
      <c r="D179" s="1">
        <v>664</v>
      </c>
      <c r="E179" s="1">
        <v>664</v>
      </c>
      <c r="H179" s="15" t="s">
        <v>10</v>
      </c>
      <c r="I179" s="19"/>
    </row>
    <row r="180" spans="1:9">
      <c r="A180" s="8">
        <v>45886</v>
      </c>
      <c r="B180" s="1">
        <v>1908</v>
      </c>
      <c r="C180" s="18" t="s">
        <v>77</v>
      </c>
      <c r="D180" s="1">
        <v>332</v>
      </c>
      <c r="E180" s="1">
        <v>332</v>
      </c>
      <c r="H180" s="15" t="s">
        <v>10</v>
      </c>
      <c r="I180" s="19"/>
    </row>
    <row r="181" spans="1:9">
      <c r="A181" s="8">
        <v>45886</v>
      </c>
      <c r="B181" s="1">
        <v>1909</v>
      </c>
      <c r="C181" s="18" t="s">
        <v>83</v>
      </c>
      <c r="D181" s="1">
        <v>332</v>
      </c>
      <c r="E181" s="1">
        <v>332</v>
      </c>
      <c r="H181" s="15" t="s">
        <v>10</v>
      </c>
      <c r="I181" s="19"/>
    </row>
    <row r="182" spans="1:9">
      <c r="A182" s="8">
        <v>45886</v>
      </c>
      <c r="B182" s="1">
        <v>1632</v>
      </c>
      <c r="C182" s="18" t="s">
        <v>78</v>
      </c>
      <c r="D182" s="1">
        <v>312</v>
      </c>
      <c r="E182" s="1">
        <v>312</v>
      </c>
      <c r="H182" s="15" t="s">
        <v>10</v>
      </c>
      <c r="I182" s="19"/>
    </row>
    <row r="183" spans="1:9">
      <c r="A183" s="8">
        <v>45886</v>
      </c>
      <c r="B183" s="1">
        <v>1650</v>
      </c>
      <c r="C183" s="18" t="s">
        <v>84</v>
      </c>
      <c r="D183" s="1">
        <v>488</v>
      </c>
      <c r="E183" s="1">
        <v>488</v>
      </c>
      <c r="H183" s="15" t="s">
        <v>10</v>
      </c>
      <c r="I183" s="19"/>
    </row>
    <row r="184" spans="1:9">
      <c r="A184" s="8">
        <v>45886</v>
      </c>
      <c r="B184" s="1">
        <v>1639</v>
      </c>
      <c r="C184" s="18" t="s">
        <v>88</v>
      </c>
      <c r="D184" s="1">
        <v>488</v>
      </c>
      <c r="E184" s="1">
        <v>488</v>
      </c>
      <c r="H184" s="15" t="s">
        <v>10</v>
      </c>
      <c r="I184" s="19"/>
    </row>
    <row r="185" spans="1:9">
      <c r="A185" s="8">
        <v>45887</v>
      </c>
      <c r="B185" s="1">
        <v>9625</v>
      </c>
      <c r="C185" s="18" t="s">
        <v>81</v>
      </c>
      <c r="D185" s="1">
        <v>812</v>
      </c>
      <c r="E185" s="1">
        <v>812</v>
      </c>
      <c r="H185" s="15" t="s">
        <v>10</v>
      </c>
      <c r="I185" s="19">
        <f>SUM(E185:E194)</f>
        <v>8491</v>
      </c>
    </row>
    <row r="186" spans="1:9">
      <c r="A186" s="8">
        <v>45887</v>
      </c>
      <c r="B186" s="1">
        <v>9839</v>
      </c>
      <c r="C186" s="18" t="s">
        <v>93</v>
      </c>
      <c r="D186" s="1">
        <v>728</v>
      </c>
      <c r="E186" s="1">
        <v>728</v>
      </c>
      <c r="H186" s="15" t="s">
        <v>10</v>
      </c>
      <c r="I186" s="19"/>
    </row>
    <row r="187" spans="1:9">
      <c r="A187" s="8">
        <v>45887</v>
      </c>
      <c r="B187" s="1">
        <v>9623</v>
      </c>
      <c r="C187" s="18" t="s">
        <v>87</v>
      </c>
      <c r="D187" s="1">
        <v>918</v>
      </c>
      <c r="E187" s="1">
        <v>918</v>
      </c>
      <c r="H187" s="15" t="s">
        <v>10</v>
      </c>
      <c r="I187" s="19"/>
    </row>
    <row r="188" spans="1:9">
      <c r="A188" s="8">
        <v>45887</v>
      </c>
      <c r="B188" s="1">
        <v>9908</v>
      </c>
      <c r="C188" s="18" t="s">
        <v>89</v>
      </c>
      <c r="D188" s="1">
        <v>768</v>
      </c>
      <c r="E188" s="1">
        <v>768</v>
      </c>
      <c r="H188" s="15" t="s">
        <v>10</v>
      </c>
      <c r="I188" s="19"/>
    </row>
    <row r="189" spans="1:9">
      <c r="A189" s="8">
        <v>45887</v>
      </c>
      <c r="B189" s="1">
        <v>9845</v>
      </c>
      <c r="C189" s="18" t="s">
        <v>80</v>
      </c>
      <c r="D189" s="1">
        <v>1050</v>
      </c>
      <c r="E189" s="1">
        <v>1050</v>
      </c>
      <c r="H189" s="15" t="s">
        <v>10</v>
      </c>
      <c r="I189" s="19"/>
    </row>
    <row r="190" spans="1:9">
      <c r="A190" s="8">
        <v>45887</v>
      </c>
      <c r="B190" s="1">
        <v>9909</v>
      </c>
      <c r="C190" s="18" t="s">
        <v>86</v>
      </c>
      <c r="D190" s="1">
        <v>684</v>
      </c>
      <c r="E190" s="1">
        <v>684</v>
      </c>
      <c r="H190" s="15" t="s">
        <v>10</v>
      </c>
      <c r="I190" s="19"/>
    </row>
    <row r="191" spans="1:9">
      <c r="A191" s="8">
        <v>45887</v>
      </c>
      <c r="B191" s="1">
        <v>650</v>
      </c>
      <c r="C191" s="18" t="s">
        <v>92</v>
      </c>
      <c r="D191" s="1">
        <v>1449</v>
      </c>
      <c r="E191" s="1">
        <v>1449</v>
      </c>
      <c r="H191" s="15" t="s">
        <v>10</v>
      </c>
      <c r="I191" s="19"/>
    </row>
    <row r="192" spans="1:9">
      <c r="A192" s="8">
        <v>45887</v>
      </c>
      <c r="B192" s="1">
        <v>639</v>
      </c>
      <c r="C192" s="18" t="s">
        <v>102</v>
      </c>
      <c r="D192" s="1">
        <v>966</v>
      </c>
      <c r="E192" s="1">
        <v>966</v>
      </c>
      <c r="H192" s="15" t="s">
        <v>10</v>
      </c>
      <c r="I192" s="19"/>
    </row>
    <row r="193" spans="1:9">
      <c r="A193" s="8">
        <v>45887</v>
      </c>
      <c r="B193" s="1">
        <v>9632</v>
      </c>
      <c r="C193" s="18" t="s">
        <v>75</v>
      </c>
      <c r="D193" s="1">
        <v>792</v>
      </c>
      <c r="E193" s="1">
        <v>792</v>
      </c>
      <c r="H193" s="15" t="s">
        <v>10</v>
      </c>
      <c r="I193" s="19"/>
    </row>
    <row r="194" spans="1:9">
      <c r="A194" s="8">
        <v>45887</v>
      </c>
      <c r="B194" s="1">
        <v>1632</v>
      </c>
      <c r="C194" s="18" t="s">
        <v>78</v>
      </c>
      <c r="D194" s="1">
        <v>324</v>
      </c>
      <c r="E194" s="1">
        <v>324</v>
      </c>
      <c r="H194" s="15" t="s">
        <v>10</v>
      </c>
      <c r="I194" s="19"/>
    </row>
    <row r="195" spans="1:9">
      <c r="A195" s="8">
        <v>45888</v>
      </c>
      <c r="B195" s="1">
        <v>9909</v>
      </c>
      <c r="C195" s="18" t="s">
        <v>86</v>
      </c>
      <c r="D195" s="1">
        <v>978</v>
      </c>
      <c r="E195" s="1">
        <v>978</v>
      </c>
      <c r="H195" s="15" t="s">
        <v>10</v>
      </c>
      <c r="I195" s="19">
        <f>SUM(E195:E206)</f>
        <v>7574</v>
      </c>
    </row>
    <row r="196" spans="1:9">
      <c r="A196" s="8">
        <v>45888</v>
      </c>
      <c r="B196" s="1">
        <v>9839</v>
      </c>
      <c r="C196" s="18" t="s">
        <v>93</v>
      </c>
      <c r="D196" s="1">
        <v>656</v>
      </c>
      <c r="E196" s="1">
        <v>656</v>
      </c>
      <c r="H196" s="15" t="s">
        <v>10</v>
      </c>
      <c r="I196" s="19"/>
    </row>
    <row r="197" spans="1:9">
      <c r="A197" s="8">
        <v>45888</v>
      </c>
      <c r="B197" s="1">
        <v>9845</v>
      </c>
      <c r="C197" s="18" t="s">
        <v>80</v>
      </c>
      <c r="D197" s="1">
        <v>1128</v>
      </c>
      <c r="E197" s="1">
        <v>1128</v>
      </c>
      <c r="H197" s="15" t="s">
        <v>10</v>
      </c>
      <c r="I197" s="19"/>
    </row>
    <row r="198" spans="1:9">
      <c r="A198" s="8">
        <v>45888</v>
      </c>
      <c r="B198" s="1">
        <v>9908</v>
      </c>
      <c r="C198" s="18" t="s">
        <v>89</v>
      </c>
      <c r="D198" s="1">
        <v>960</v>
      </c>
      <c r="E198" s="1">
        <v>960</v>
      </c>
      <c r="H198" s="15" t="s">
        <v>10</v>
      </c>
      <c r="I198" s="19"/>
    </row>
    <row r="199" spans="1:9">
      <c r="A199" s="8">
        <v>45888</v>
      </c>
      <c r="B199" s="1">
        <v>1652</v>
      </c>
      <c r="C199" s="18" t="s">
        <v>104</v>
      </c>
      <c r="D199" s="1">
        <v>340</v>
      </c>
      <c r="E199" s="1">
        <v>340</v>
      </c>
      <c r="H199" s="15" t="s">
        <v>10</v>
      </c>
      <c r="I199" s="19"/>
    </row>
    <row r="200" spans="1:9">
      <c r="A200" s="8">
        <v>45888</v>
      </c>
      <c r="B200" s="1">
        <v>1656</v>
      </c>
      <c r="C200" s="18" t="s">
        <v>91</v>
      </c>
      <c r="D200" s="1">
        <v>340</v>
      </c>
      <c r="E200" s="1">
        <v>340</v>
      </c>
      <c r="H200" s="15" t="s">
        <v>10</v>
      </c>
      <c r="I200" s="19"/>
    </row>
    <row r="201" spans="1:9">
      <c r="A201" s="8">
        <v>45888</v>
      </c>
      <c r="B201" s="1">
        <v>1653</v>
      </c>
      <c r="C201" s="18" t="s">
        <v>95</v>
      </c>
      <c r="D201" s="1">
        <v>340</v>
      </c>
      <c r="E201" s="1">
        <v>340</v>
      </c>
      <c r="H201" s="15" t="s">
        <v>10</v>
      </c>
      <c r="I201" s="19"/>
    </row>
    <row r="202" spans="1:9">
      <c r="A202" s="8">
        <v>45888</v>
      </c>
      <c r="B202" s="1">
        <v>9627</v>
      </c>
      <c r="C202" s="18" t="s">
        <v>82</v>
      </c>
      <c r="D202" s="1">
        <v>182</v>
      </c>
      <c r="E202" s="1">
        <v>182</v>
      </c>
      <c r="H202" s="15" t="s">
        <v>10</v>
      </c>
      <c r="I202" s="19"/>
    </row>
    <row r="203" spans="1:9">
      <c r="A203" s="8">
        <v>45888</v>
      </c>
      <c r="B203" s="1">
        <v>9636</v>
      </c>
      <c r="C203" s="18" t="s">
        <v>112</v>
      </c>
      <c r="D203" s="1">
        <v>51</v>
      </c>
      <c r="E203" s="1">
        <v>51</v>
      </c>
      <c r="H203" s="15" t="s">
        <v>10</v>
      </c>
      <c r="I203" s="19"/>
    </row>
    <row r="204" spans="1:9">
      <c r="A204" s="8">
        <v>45888</v>
      </c>
      <c r="B204" s="1">
        <v>9638</v>
      </c>
      <c r="C204" s="18" t="s">
        <v>114</v>
      </c>
      <c r="D204" s="1">
        <v>15</v>
      </c>
      <c r="E204" s="1">
        <v>15</v>
      </c>
      <c r="H204" s="15" t="s">
        <v>10</v>
      </c>
      <c r="I204" s="19"/>
    </row>
    <row r="205" spans="1:9">
      <c r="A205" s="8">
        <v>45888</v>
      </c>
      <c r="B205" s="1">
        <v>650</v>
      </c>
      <c r="C205" s="18" t="s">
        <v>92</v>
      </c>
      <c r="D205" s="1">
        <v>1392</v>
      </c>
      <c r="E205" s="1">
        <v>1392</v>
      </c>
      <c r="H205" s="15" t="s">
        <v>10</v>
      </c>
      <c r="I205" s="19"/>
    </row>
    <row r="206" spans="1:9">
      <c r="A206" s="8">
        <v>45888</v>
      </c>
      <c r="B206" s="1">
        <v>639</v>
      </c>
      <c r="C206" s="18" t="s">
        <v>102</v>
      </c>
      <c r="D206" s="1">
        <v>1192</v>
      </c>
      <c r="E206" s="1">
        <v>1192</v>
      </c>
      <c r="H206" s="15" t="s">
        <v>10</v>
      </c>
      <c r="I206" s="19"/>
    </row>
    <row r="207" spans="1:9">
      <c r="A207" s="8">
        <v>45889</v>
      </c>
      <c r="B207" s="1">
        <v>9623</v>
      </c>
      <c r="C207" s="18" t="s">
        <v>87</v>
      </c>
      <c r="D207" s="1">
        <v>750</v>
      </c>
      <c r="E207" s="1">
        <v>750</v>
      </c>
      <c r="H207" s="15" t="s">
        <v>10</v>
      </c>
      <c r="I207" s="19">
        <f>SUM(E207:E223)</f>
        <v>6920</v>
      </c>
    </row>
    <row r="208" spans="1:9">
      <c r="A208" s="8">
        <v>45889</v>
      </c>
      <c r="B208" s="1">
        <v>9625</v>
      </c>
      <c r="C208" s="18" t="s">
        <v>81</v>
      </c>
      <c r="D208" s="1">
        <v>756</v>
      </c>
      <c r="E208" s="1">
        <v>756</v>
      </c>
      <c r="H208" s="15" t="s">
        <v>10</v>
      </c>
      <c r="I208" s="19"/>
    </row>
    <row r="209" spans="1:9">
      <c r="A209" s="8">
        <v>45889</v>
      </c>
      <c r="B209" s="1">
        <v>1627</v>
      </c>
      <c r="C209" s="18" t="s">
        <v>79</v>
      </c>
      <c r="D209" s="1">
        <v>342</v>
      </c>
      <c r="E209" s="1">
        <v>342</v>
      </c>
      <c r="H209" s="15" t="s">
        <v>10</v>
      </c>
      <c r="I209" s="19"/>
    </row>
    <row r="210" spans="1:9">
      <c r="A210" s="8">
        <v>45889</v>
      </c>
      <c r="B210" s="1">
        <v>1625</v>
      </c>
      <c r="C210" s="18" t="s">
        <v>90</v>
      </c>
      <c r="D210" s="1">
        <v>264</v>
      </c>
      <c r="E210" s="1">
        <v>264</v>
      </c>
      <c r="H210" s="15" t="s">
        <v>10</v>
      </c>
      <c r="I210" s="19"/>
    </row>
    <row r="211" spans="1:9">
      <c r="A211" s="8">
        <v>45889</v>
      </c>
      <c r="B211" s="1">
        <v>9631</v>
      </c>
      <c r="C211" s="18" t="s">
        <v>111</v>
      </c>
      <c r="D211" s="1">
        <v>460</v>
      </c>
      <c r="E211" s="1">
        <v>460</v>
      </c>
      <c r="H211" s="15" t="s">
        <v>10</v>
      </c>
      <c r="I211" s="19"/>
    </row>
    <row r="212" spans="1:9">
      <c r="A212" s="8">
        <v>45889</v>
      </c>
      <c r="B212" s="1">
        <v>9635</v>
      </c>
      <c r="C212" s="18" t="s">
        <v>122</v>
      </c>
      <c r="D212" s="1">
        <v>188</v>
      </c>
      <c r="E212" s="1">
        <v>188</v>
      </c>
      <c r="H212" s="15" t="s">
        <v>10</v>
      </c>
      <c r="I212" s="19"/>
    </row>
    <row r="213" spans="1:9">
      <c r="A213" s="8">
        <v>45889</v>
      </c>
      <c r="B213" s="1">
        <v>1909</v>
      </c>
      <c r="C213" s="18" t="s">
        <v>83</v>
      </c>
      <c r="D213" s="1">
        <v>366</v>
      </c>
      <c r="E213" s="1">
        <v>366</v>
      </c>
      <c r="H213" s="15" t="s">
        <v>10</v>
      </c>
      <c r="I213" s="19"/>
    </row>
    <row r="214" spans="1:9">
      <c r="A214" s="8">
        <v>45889</v>
      </c>
      <c r="B214" s="1">
        <v>1908</v>
      </c>
      <c r="C214" s="18" t="s">
        <v>77</v>
      </c>
      <c r="D214" s="1">
        <v>312</v>
      </c>
      <c r="E214" s="1">
        <v>312</v>
      </c>
      <c r="H214" s="15" t="s">
        <v>10</v>
      </c>
      <c r="I214" s="19"/>
    </row>
    <row r="215" spans="1:9">
      <c r="A215" s="8">
        <v>45889</v>
      </c>
      <c r="B215" s="1">
        <v>1651</v>
      </c>
      <c r="C215" s="18" t="s">
        <v>103</v>
      </c>
      <c r="D215" s="1">
        <v>210</v>
      </c>
      <c r="E215" s="1">
        <v>210</v>
      </c>
      <c r="H215" s="15" t="s">
        <v>10</v>
      </c>
      <c r="I215" s="19"/>
    </row>
    <row r="216" spans="1:9">
      <c r="A216" s="8">
        <v>45889</v>
      </c>
      <c r="B216" s="1">
        <v>9632</v>
      </c>
      <c r="C216" s="18" t="s">
        <v>75</v>
      </c>
      <c r="D216" s="1">
        <v>668</v>
      </c>
      <c r="E216" s="1">
        <v>668</v>
      </c>
      <c r="H216" s="15" t="s">
        <v>10</v>
      </c>
      <c r="I216" s="19"/>
    </row>
    <row r="217" spans="1:9">
      <c r="A217" s="8">
        <v>45889</v>
      </c>
      <c r="B217" s="1">
        <v>1845</v>
      </c>
      <c r="C217" s="18" t="s">
        <v>85</v>
      </c>
      <c r="D217" s="1">
        <v>696</v>
      </c>
      <c r="E217" s="1">
        <v>696</v>
      </c>
      <c r="H217" s="15" t="s">
        <v>10</v>
      </c>
      <c r="I217" s="19"/>
    </row>
    <row r="218" spans="1:9">
      <c r="A218" s="8">
        <v>45889</v>
      </c>
      <c r="B218" s="1">
        <v>1632</v>
      </c>
      <c r="C218" s="18" t="s">
        <v>78</v>
      </c>
      <c r="D218" s="1">
        <v>459</v>
      </c>
      <c r="E218" s="1">
        <v>459</v>
      </c>
      <c r="H218" s="15" t="s">
        <v>10</v>
      </c>
      <c r="I218" s="19"/>
    </row>
    <row r="219" spans="1:9">
      <c r="A219" s="8">
        <v>45889</v>
      </c>
      <c r="B219" s="1">
        <v>1630</v>
      </c>
      <c r="C219" s="18" t="s">
        <v>120</v>
      </c>
      <c r="D219" s="1">
        <v>321</v>
      </c>
      <c r="E219" s="1">
        <v>321</v>
      </c>
      <c r="H219" s="15" t="s">
        <v>10</v>
      </c>
      <c r="I219" s="19"/>
    </row>
    <row r="220" spans="1:9">
      <c r="A220" s="8">
        <v>45889</v>
      </c>
      <c r="B220" s="1">
        <v>9909</v>
      </c>
      <c r="C220" s="18" t="s">
        <v>86</v>
      </c>
      <c r="D220" s="1">
        <v>528</v>
      </c>
      <c r="E220" s="1">
        <v>528</v>
      </c>
      <c r="H220" s="15" t="s">
        <v>10</v>
      </c>
      <c r="I220" s="19"/>
    </row>
    <row r="221" spans="1:9">
      <c r="A221" s="8">
        <v>45889</v>
      </c>
      <c r="B221" s="1">
        <v>9908</v>
      </c>
      <c r="C221" s="18" t="s">
        <v>89</v>
      </c>
      <c r="D221" s="1">
        <v>276</v>
      </c>
      <c r="E221" s="1">
        <v>276</v>
      </c>
      <c r="H221" s="15" t="s">
        <v>10</v>
      </c>
      <c r="I221" s="19"/>
    </row>
    <row r="222" spans="1:9">
      <c r="A222" s="8">
        <v>45889</v>
      </c>
      <c r="B222" s="1">
        <v>650</v>
      </c>
      <c r="C222" s="18" t="s">
        <v>92</v>
      </c>
      <c r="D222" s="1">
        <v>216</v>
      </c>
      <c r="E222" s="1">
        <v>216</v>
      </c>
      <c r="H222" s="15" t="s">
        <v>10</v>
      </c>
      <c r="I222" s="19"/>
    </row>
    <row r="223" spans="1:9">
      <c r="A223" s="8">
        <v>45889</v>
      </c>
      <c r="B223" s="1">
        <v>639</v>
      </c>
      <c r="C223" s="18" t="s">
        <v>102</v>
      </c>
      <c r="D223" s="1">
        <v>108</v>
      </c>
      <c r="E223" s="1">
        <v>108</v>
      </c>
      <c r="H223" s="15" t="s">
        <v>10</v>
      </c>
      <c r="I223" s="19"/>
    </row>
    <row r="224" spans="1:9">
      <c r="A224" s="8">
        <v>45890</v>
      </c>
      <c r="B224" s="1">
        <v>9845</v>
      </c>
      <c r="C224" s="18" t="s">
        <v>80</v>
      </c>
      <c r="D224" s="1">
        <v>832</v>
      </c>
      <c r="E224" s="1">
        <v>832</v>
      </c>
      <c r="H224" s="15" t="s">
        <v>10</v>
      </c>
      <c r="I224" s="19">
        <f>SUM(E224:E234)</f>
        <v>6484</v>
      </c>
    </row>
    <row r="225" spans="1:9">
      <c r="A225" s="8">
        <v>45890</v>
      </c>
      <c r="B225" s="1">
        <v>9839</v>
      </c>
      <c r="C225" s="18" t="s">
        <v>93</v>
      </c>
      <c r="D225" s="1">
        <v>638</v>
      </c>
      <c r="E225" s="1">
        <v>638</v>
      </c>
      <c r="H225" s="15" t="s">
        <v>10</v>
      </c>
      <c r="I225" s="19"/>
    </row>
    <row r="226" spans="1:9">
      <c r="A226" s="8">
        <v>45890</v>
      </c>
      <c r="B226" s="1">
        <v>9632</v>
      </c>
      <c r="C226" s="18" t="s">
        <v>75</v>
      </c>
      <c r="D226" s="1">
        <v>728</v>
      </c>
      <c r="E226" s="1">
        <v>728</v>
      </c>
      <c r="H226" s="15" t="s">
        <v>10</v>
      </c>
      <c r="I226" s="19"/>
    </row>
    <row r="227" spans="1:9">
      <c r="A227" s="8">
        <v>45890</v>
      </c>
      <c r="B227" s="1">
        <v>1845</v>
      </c>
      <c r="C227" s="18" t="s">
        <v>85</v>
      </c>
      <c r="D227" s="1">
        <v>720</v>
      </c>
      <c r="E227" s="1">
        <v>720</v>
      </c>
      <c r="H227" s="15" t="s">
        <v>10</v>
      </c>
      <c r="I227" s="19"/>
    </row>
    <row r="228" spans="1:9">
      <c r="A228" s="8">
        <v>45890</v>
      </c>
      <c r="B228" s="1">
        <v>1845</v>
      </c>
      <c r="C228" s="18" t="s">
        <v>85</v>
      </c>
      <c r="D228" s="1">
        <v>510</v>
      </c>
      <c r="E228" s="1">
        <v>510</v>
      </c>
      <c r="H228" s="15" t="s">
        <v>10</v>
      </c>
      <c r="I228" s="19"/>
    </row>
    <row r="229" spans="1:9">
      <c r="A229" s="8">
        <v>45890</v>
      </c>
      <c r="B229" s="1">
        <v>1908</v>
      </c>
      <c r="C229" s="18" t="s">
        <v>77</v>
      </c>
      <c r="D229" s="1">
        <v>510</v>
      </c>
      <c r="E229" s="1">
        <v>510</v>
      </c>
      <c r="H229" s="15" t="s">
        <v>10</v>
      </c>
      <c r="I229" s="19"/>
    </row>
    <row r="230" spans="1:9">
      <c r="A230" s="8">
        <v>45890</v>
      </c>
      <c r="B230" s="1">
        <v>1909</v>
      </c>
      <c r="C230" s="18" t="s">
        <v>83</v>
      </c>
      <c r="D230" s="1">
        <v>510</v>
      </c>
      <c r="E230" s="1">
        <v>510</v>
      </c>
      <c r="H230" s="15" t="s">
        <v>10</v>
      </c>
      <c r="I230" s="19"/>
    </row>
    <row r="231" spans="1:9">
      <c r="A231" s="8">
        <v>45890</v>
      </c>
      <c r="B231" s="1">
        <v>9908</v>
      </c>
      <c r="C231" s="18" t="s">
        <v>89</v>
      </c>
      <c r="D231" s="1">
        <v>660</v>
      </c>
      <c r="E231" s="1">
        <v>660</v>
      </c>
      <c r="H231" s="15" t="s">
        <v>10</v>
      </c>
      <c r="I231" s="19"/>
    </row>
    <row r="232" spans="1:9">
      <c r="A232" s="8">
        <v>45890</v>
      </c>
      <c r="B232" s="1">
        <v>9909</v>
      </c>
      <c r="C232" s="18" t="s">
        <v>86</v>
      </c>
      <c r="D232" s="1">
        <v>492</v>
      </c>
      <c r="E232" s="1">
        <v>492</v>
      </c>
      <c r="H232" s="15" t="s">
        <v>10</v>
      </c>
      <c r="I232" s="19"/>
    </row>
    <row r="233" spans="1:9">
      <c r="A233" s="8">
        <v>45890</v>
      </c>
      <c r="B233" s="1">
        <v>1639</v>
      </c>
      <c r="C233" s="18" t="s">
        <v>88</v>
      </c>
      <c r="D233" s="1">
        <v>448</v>
      </c>
      <c r="E233" s="1">
        <v>448</v>
      </c>
      <c r="H233" s="15" t="s">
        <v>10</v>
      </c>
      <c r="I233" s="19"/>
    </row>
    <row r="234" spans="1:9">
      <c r="A234" s="8">
        <v>45890</v>
      </c>
      <c r="B234" s="1">
        <v>1656</v>
      </c>
      <c r="C234" s="18" t="s">
        <v>91</v>
      </c>
      <c r="D234" s="1">
        <v>436</v>
      </c>
      <c r="E234" s="1">
        <v>436</v>
      </c>
      <c r="H234" s="15" t="s">
        <v>10</v>
      </c>
      <c r="I234" s="19"/>
    </row>
    <row r="235" spans="1:9">
      <c r="A235" s="8">
        <v>45891</v>
      </c>
      <c r="B235" s="1">
        <v>9845</v>
      </c>
      <c r="C235" s="18" t="s">
        <v>80</v>
      </c>
      <c r="D235" s="1">
        <v>990</v>
      </c>
      <c r="E235" s="1">
        <v>990</v>
      </c>
      <c r="H235" s="15" t="s">
        <v>10</v>
      </c>
      <c r="I235" s="19">
        <f>SUM(E235:E241)</f>
        <v>4367</v>
      </c>
    </row>
    <row r="236" spans="1:9">
      <c r="A236" s="8">
        <v>45891</v>
      </c>
      <c r="B236" s="1">
        <v>9909</v>
      </c>
      <c r="C236" s="18" t="s">
        <v>86</v>
      </c>
      <c r="D236" s="1">
        <v>540</v>
      </c>
      <c r="E236" s="1">
        <v>540</v>
      </c>
      <c r="H236" s="15" t="s">
        <v>10</v>
      </c>
      <c r="I236" s="19"/>
    </row>
    <row r="237" spans="1:9">
      <c r="A237" s="8">
        <v>45891</v>
      </c>
      <c r="B237" s="1">
        <v>9839</v>
      </c>
      <c r="C237" s="18" t="s">
        <v>93</v>
      </c>
      <c r="D237" s="1">
        <v>399</v>
      </c>
      <c r="E237" s="1">
        <v>399</v>
      </c>
      <c r="H237" s="15" t="s">
        <v>10</v>
      </c>
      <c r="I237" s="19"/>
    </row>
    <row r="238" spans="1:9">
      <c r="A238" s="8">
        <v>45891</v>
      </c>
      <c r="B238" s="1">
        <v>9630</v>
      </c>
      <c r="C238" s="18" t="s">
        <v>116</v>
      </c>
      <c r="D238" s="1">
        <v>44</v>
      </c>
      <c r="E238" s="1">
        <v>44</v>
      </c>
      <c r="H238" s="15" t="s">
        <v>10</v>
      </c>
      <c r="I238" s="19"/>
    </row>
    <row r="239" spans="1:9">
      <c r="A239" s="8">
        <v>45891</v>
      </c>
      <c r="B239" s="1">
        <v>1650</v>
      </c>
      <c r="C239" s="18" t="s">
        <v>84</v>
      </c>
      <c r="D239" s="1">
        <v>800</v>
      </c>
      <c r="E239" s="1">
        <v>800</v>
      </c>
      <c r="H239" s="15" t="s">
        <v>10</v>
      </c>
      <c r="I239" s="19"/>
    </row>
    <row r="240" spans="1:9">
      <c r="A240" s="8">
        <v>45891</v>
      </c>
      <c r="B240" s="1">
        <v>1639</v>
      </c>
      <c r="C240" s="18" t="s">
        <v>88</v>
      </c>
      <c r="D240" s="1">
        <v>640</v>
      </c>
      <c r="E240" s="1">
        <v>640</v>
      </c>
      <c r="H240" s="15" t="s">
        <v>10</v>
      </c>
      <c r="I240" s="19"/>
    </row>
    <row r="241" spans="1:9">
      <c r="A241" s="8">
        <v>45891</v>
      </c>
      <c r="B241" s="1">
        <v>9632</v>
      </c>
      <c r="C241" s="18" t="s">
        <v>75</v>
      </c>
      <c r="D241" s="1">
        <v>954</v>
      </c>
      <c r="E241" s="1">
        <v>954</v>
      </c>
      <c r="H241" s="15" t="s">
        <v>10</v>
      </c>
      <c r="I241" s="19"/>
    </row>
    <row r="242" spans="1:9">
      <c r="A242" s="8">
        <v>45892</v>
      </c>
      <c r="B242" s="1">
        <v>9625</v>
      </c>
      <c r="C242" s="18" t="s">
        <v>81</v>
      </c>
      <c r="D242" s="1">
        <v>714</v>
      </c>
      <c r="E242" s="1">
        <v>714</v>
      </c>
      <c r="H242" s="15" t="s">
        <v>10</v>
      </c>
      <c r="I242" s="19">
        <f>SUM(E242:E254)</f>
        <v>5625</v>
      </c>
    </row>
    <row r="243" spans="1:9">
      <c r="A243" s="8">
        <v>45892</v>
      </c>
      <c r="B243" s="1">
        <v>9623</v>
      </c>
      <c r="C243" s="18" t="s">
        <v>87</v>
      </c>
      <c r="D243" s="1">
        <v>618</v>
      </c>
      <c r="E243" s="1">
        <v>618</v>
      </c>
      <c r="H243" s="15" t="s">
        <v>10</v>
      </c>
      <c r="I243" s="19"/>
    </row>
    <row r="244" spans="1:9">
      <c r="A244" s="8">
        <v>45892</v>
      </c>
      <c r="B244" s="1">
        <v>9845</v>
      </c>
      <c r="C244" s="18" t="s">
        <v>80</v>
      </c>
      <c r="D244" s="1">
        <v>1170</v>
      </c>
      <c r="E244" s="1">
        <v>1170</v>
      </c>
      <c r="H244" s="15" t="s">
        <v>10</v>
      </c>
      <c r="I244" s="19"/>
    </row>
    <row r="245" spans="1:9">
      <c r="A245" s="8">
        <v>45892</v>
      </c>
      <c r="B245" s="1">
        <v>9631</v>
      </c>
      <c r="C245" s="18" t="s">
        <v>111</v>
      </c>
      <c r="D245" s="1">
        <v>120</v>
      </c>
      <c r="E245" s="1">
        <v>120</v>
      </c>
      <c r="H245" s="15" t="s">
        <v>10</v>
      </c>
      <c r="I245" s="19"/>
    </row>
    <row r="246" spans="1:9">
      <c r="A246" s="8">
        <v>45892</v>
      </c>
      <c r="B246" s="1">
        <v>1842</v>
      </c>
      <c r="C246" s="18" t="s">
        <v>123</v>
      </c>
      <c r="D246" s="1">
        <v>154</v>
      </c>
      <c r="E246" s="1">
        <v>154</v>
      </c>
      <c r="H246" s="15" t="s">
        <v>10</v>
      </c>
      <c r="I246" s="19"/>
    </row>
    <row r="247" spans="1:9">
      <c r="A247" s="8">
        <v>45892</v>
      </c>
      <c r="B247" s="1">
        <v>9630</v>
      </c>
      <c r="C247" s="18" t="s">
        <v>116</v>
      </c>
      <c r="D247" s="1">
        <v>225</v>
      </c>
      <c r="E247" s="1">
        <v>225</v>
      </c>
      <c r="H247" s="15" t="s">
        <v>10</v>
      </c>
      <c r="I247" s="19"/>
    </row>
    <row r="248" spans="1:9">
      <c r="A248" s="8">
        <v>45892</v>
      </c>
      <c r="B248" s="1">
        <v>639</v>
      </c>
      <c r="C248" s="18" t="s">
        <v>102</v>
      </c>
      <c r="D248" s="1">
        <v>132</v>
      </c>
      <c r="E248" s="1">
        <v>132</v>
      </c>
      <c r="H248" s="15" t="s">
        <v>10</v>
      </c>
      <c r="I248" s="19"/>
    </row>
    <row r="249" spans="1:9">
      <c r="A249" s="8">
        <v>45892</v>
      </c>
      <c r="B249" s="1">
        <v>9838</v>
      </c>
      <c r="C249" s="18" t="s">
        <v>113</v>
      </c>
      <c r="D249" s="1">
        <v>40</v>
      </c>
      <c r="E249" s="1">
        <v>40</v>
      </c>
      <c r="H249" s="15" t="s">
        <v>10</v>
      </c>
      <c r="I249" s="19"/>
    </row>
    <row r="250" spans="1:9">
      <c r="A250" s="8">
        <v>45892</v>
      </c>
      <c r="B250" s="1">
        <v>9839</v>
      </c>
      <c r="C250" s="18" t="s">
        <v>93</v>
      </c>
      <c r="D250" s="1">
        <v>640</v>
      </c>
      <c r="E250" s="1">
        <v>640</v>
      </c>
      <c r="H250" s="15" t="s">
        <v>10</v>
      </c>
      <c r="I250" s="19"/>
    </row>
    <row r="251" spans="1:9">
      <c r="A251" s="8">
        <v>45892</v>
      </c>
      <c r="B251" s="1">
        <v>9635</v>
      </c>
      <c r="C251" s="18" t="s">
        <v>122</v>
      </c>
      <c r="D251" s="1">
        <v>20</v>
      </c>
      <c r="E251" s="1">
        <v>20</v>
      </c>
      <c r="H251" s="15" t="s">
        <v>10</v>
      </c>
      <c r="I251" s="19"/>
    </row>
    <row r="252" spans="1:9">
      <c r="A252" s="8">
        <v>45892</v>
      </c>
      <c r="B252" s="1">
        <v>1650</v>
      </c>
      <c r="C252" s="18" t="s">
        <v>84</v>
      </c>
      <c r="D252" s="1">
        <v>652</v>
      </c>
      <c r="E252" s="1">
        <v>652</v>
      </c>
      <c r="H252" s="15" t="s">
        <v>10</v>
      </c>
      <c r="I252" s="19"/>
    </row>
    <row r="253" spans="1:9">
      <c r="A253" s="8">
        <v>45892</v>
      </c>
      <c r="B253" s="1">
        <v>1639</v>
      </c>
      <c r="C253" s="18" t="s">
        <v>88</v>
      </c>
      <c r="D253" s="1">
        <v>572</v>
      </c>
      <c r="E253" s="1">
        <v>572</v>
      </c>
      <c r="H253" s="15" t="s">
        <v>10</v>
      </c>
      <c r="I253" s="19"/>
    </row>
    <row r="254" spans="1:9">
      <c r="A254" s="8">
        <v>45892</v>
      </c>
      <c r="B254" s="1">
        <v>1632</v>
      </c>
      <c r="C254" s="18" t="s">
        <v>78</v>
      </c>
      <c r="D254" s="1">
        <v>568</v>
      </c>
      <c r="E254" s="1">
        <v>568</v>
      </c>
      <c r="H254" s="15" t="s">
        <v>10</v>
      </c>
      <c r="I254" s="19"/>
    </row>
    <row r="255" spans="1:9">
      <c r="A255" s="8">
        <v>45893</v>
      </c>
      <c r="B255" s="1">
        <v>9845</v>
      </c>
      <c r="C255" s="18" t="s">
        <v>80</v>
      </c>
      <c r="D255" s="1">
        <v>1312</v>
      </c>
      <c r="E255" s="1">
        <v>1312</v>
      </c>
      <c r="H255" s="15" t="s">
        <v>10</v>
      </c>
      <c r="I255" s="19">
        <f>SUM(E255:E261)</f>
        <v>3134</v>
      </c>
    </row>
    <row r="256" spans="1:9">
      <c r="A256" s="8">
        <v>45893</v>
      </c>
      <c r="B256" s="1">
        <v>9632</v>
      </c>
      <c r="C256" s="18" t="s">
        <v>75</v>
      </c>
      <c r="D256" s="1">
        <v>750</v>
      </c>
      <c r="E256" s="1">
        <v>750</v>
      </c>
      <c r="H256" s="15" t="s">
        <v>10</v>
      </c>
      <c r="I256" s="19"/>
    </row>
    <row r="257" spans="1:9">
      <c r="A257" s="8">
        <v>45893</v>
      </c>
      <c r="B257" s="1">
        <v>1908</v>
      </c>
      <c r="C257" s="18" t="s">
        <v>77</v>
      </c>
      <c r="D257" s="1">
        <v>8</v>
      </c>
      <c r="E257" s="1">
        <v>8</v>
      </c>
      <c r="H257" s="15" t="s">
        <v>10</v>
      </c>
      <c r="I257" s="19"/>
    </row>
    <row r="258" spans="1:9">
      <c r="A258" s="8">
        <v>45893</v>
      </c>
      <c r="B258" s="1">
        <v>1651</v>
      </c>
      <c r="C258" s="18" t="s">
        <v>103</v>
      </c>
      <c r="D258" s="1">
        <v>8</v>
      </c>
      <c r="E258" s="1">
        <v>8</v>
      </c>
      <c r="H258" s="15" t="s">
        <v>10</v>
      </c>
      <c r="I258" s="19"/>
    </row>
    <row r="259" spans="1:9">
      <c r="A259" s="8">
        <v>45893</v>
      </c>
      <c r="B259" s="1">
        <v>1656</v>
      </c>
      <c r="C259" s="18" t="s">
        <v>91</v>
      </c>
      <c r="D259" s="1">
        <v>476</v>
      </c>
      <c r="E259" s="1">
        <v>476</v>
      </c>
      <c r="H259" s="15" t="s">
        <v>10</v>
      </c>
      <c r="I259" s="19"/>
    </row>
    <row r="260" spans="1:9">
      <c r="A260" s="8">
        <v>45893</v>
      </c>
      <c r="B260" s="1">
        <v>1630</v>
      </c>
      <c r="C260" s="18" t="s">
        <v>120</v>
      </c>
      <c r="D260" s="1">
        <v>4</v>
      </c>
      <c r="E260" s="1">
        <v>4</v>
      </c>
      <c r="H260" s="15" t="s">
        <v>10</v>
      </c>
      <c r="I260" s="19"/>
    </row>
    <row r="261" spans="1:9">
      <c r="A261" s="8">
        <v>45893</v>
      </c>
      <c r="B261" s="1">
        <v>1650</v>
      </c>
      <c r="C261" s="18" t="s">
        <v>84</v>
      </c>
      <c r="D261" s="1">
        <v>576</v>
      </c>
      <c r="E261" s="1">
        <v>576</v>
      </c>
      <c r="H261" s="15" t="s">
        <v>10</v>
      </c>
      <c r="I261" s="19"/>
    </row>
    <row r="262" spans="1:9">
      <c r="A262" s="8">
        <v>45894</v>
      </c>
      <c r="B262" s="1">
        <v>9625</v>
      </c>
      <c r="C262" s="18" t="s">
        <v>81</v>
      </c>
      <c r="D262" s="1">
        <v>696</v>
      </c>
      <c r="E262" s="1">
        <v>696</v>
      </c>
      <c r="H262" s="15" t="s">
        <v>10</v>
      </c>
      <c r="I262" s="19">
        <f>SUM(E262:E270)</f>
        <v>5196</v>
      </c>
    </row>
    <row r="263" spans="1:9">
      <c r="A263" s="8">
        <v>45894</v>
      </c>
      <c r="B263" s="1">
        <v>1625</v>
      </c>
      <c r="C263" s="18" t="s">
        <v>90</v>
      </c>
      <c r="D263" s="1">
        <v>696</v>
      </c>
      <c r="E263" s="1">
        <v>696</v>
      </c>
      <c r="H263" s="15" t="s">
        <v>10</v>
      </c>
      <c r="I263" s="19"/>
    </row>
    <row r="264" spans="1:9">
      <c r="A264" s="8">
        <v>45894</v>
      </c>
      <c r="B264" s="1">
        <v>9839</v>
      </c>
      <c r="C264" s="18" t="s">
        <v>93</v>
      </c>
      <c r="D264" s="1">
        <v>664</v>
      </c>
      <c r="E264" s="1">
        <v>664</v>
      </c>
      <c r="H264" s="15" t="s">
        <v>10</v>
      </c>
      <c r="I264" s="19"/>
    </row>
    <row r="265" spans="1:9">
      <c r="A265" s="8">
        <v>45894</v>
      </c>
      <c r="B265" s="1">
        <v>9623</v>
      </c>
      <c r="C265" s="18" t="s">
        <v>87</v>
      </c>
      <c r="D265" s="1">
        <v>516</v>
      </c>
      <c r="E265" s="1">
        <v>516</v>
      </c>
      <c r="H265" s="15" t="s">
        <v>10</v>
      </c>
      <c r="I265" s="19"/>
    </row>
    <row r="266" spans="1:9">
      <c r="A266" s="8">
        <v>45894</v>
      </c>
      <c r="B266" s="1">
        <v>1909</v>
      </c>
      <c r="C266" s="18" t="s">
        <v>83</v>
      </c>
      <c r="D266" s="1">
        <v>570</v>
      </c>
      <c r="E266" s="1">
        <v>570</v>
      </c>
      <c r="H266" s="15" t="s">
        <v>10</v>
      </c>
      <c r="I266" s="19"/>
    </row>
    <row r="267" spans="1:9">
      <c r="A267" s="8">
        <v>45894</v>
      </c>
      <c r="B267" s="1">
        <v>639</v>
      </c>
      <c r="C267" s="18" t="s">
        <v>102</v>
      </c>
      <c r="D267" s="1">
        <v>404</v>
      </c>
      <c r="E267" s="1">
        <v>404</v>
      </c>
      <c r="H267" s="15" t="s">
        <v>10</v>
      </c>
      <c r="I267" s="19"/>
    </row>
    <row r="268" spans="1:9">
      <c r="A268" s="8">
        <v>45894</v>
      </c>
      <c r="B268" s="1">
        <v>650</v>
      </c>
      <c r="C268" s="18" t="s">
        <v>92</v>
      </c>
      <c r="D268" s="1">
        <v>142</v>
      </c>
      <c r="E268" s="1">
        <v>142</v>
      </c>
      <c r="H268" s="15" t="s">
        <v>10</v>
      </c>
      <c r="I268" s="19"/>
    </row>
    <row r="269" spans="1:9">
      <c r="A269" s="8">
        <v>45894</v>
      </c>
      <c r="B269" s="1">
        <v>9845</v>
      </c>
      <c r="C269" s="18" t="s">
        <v>80</v>
      </c>
      <c r="D269" s="1">
        <v>830</v>
      </c>
      <c r="E269" s="1">
        <v>830</v>
      </c>
      <c r="H269" s="15" t="s">
        <v>10</v>
      </c>
      <c r="I269" s="19"/>
    </row>
    <row r="270" spans="1:9">
      <c r="A270" s="8">
        <v>45894</v>
      </c>
      <c r="B270" s="1">
        <v>9632</v>
      </c>
      <c r="C270" s="18" t="s">
        <v>75</v>
      </c>
      <c r="D270" s="1">
        <v>678</v>
      </c>
      <c r="E270" s="1">
        <v>678</v>
      </c>
      <c r="H270" s="15" t="s">
        <v>10</v>
      </c>
      <c r="I270" s="19"/>
    </row>
    <row r="271" spans="1:9">
      <c r="A271" s="8">
        <v>45895</v>
      </c>
      <c r="B271" s="1">
        <v>9839</v>
      </c>
      <c r="C271" s="18" t="s">
        <v>93</v>
      </c>
      <c r="D271" s="1">
        <v>432</v>
      </c>
      <c r="E271" s="1">
        <v>432</v>
      </c>
      <c r="H271" s="15" t="s">
        <v>10</v>
      </c>
      <c r="I271" s="19">
        <f>SUM(E271:E285)</f>
        <v>5629</v>
      </c>
    </row>
    <row r="272" spans="1:9">
      <c r="A272" s="8">
        <v>45895</v>
      </c>
      <c r="B272" s="1">
        <v>9632</v>
      </c>
      <c r="C272" s="18" t="s">
        <v>75</v>
      </c>
      <c r="D272" s="1">
        <v>324</v>
      </c>
      <c r="E272" s="1">
        <v>324</v>
      </c>
      <c r="H272" s="15" t="s">
        <v>10</v>
      </c>
      <c r="I272" s="19"/>
    </row>
    <row r="273" spans="1:9">
      <c r="A273" s="8">
        <v>45895</v>
      </c>
      <c r="B273" s="1">
        <v>1908</v>
      </c>
      <c r="C273" s="18" t="s">
        <v>77</v>
      </c>
      <c r="D273" s="1">
        <v>990</v>
      </c>
      <c r="E273" s="1">
        <v>990</v>
      </c>
      <c r="H273" s="15" t="s">
        <v>10</v>
      </c>
      <c r="I273" s="19"/>
    </row>
    <row r="274" spans="1:9">
      <c r="A274" s="8">
        <v>45895</v>
      </c>
      <c r="B274" s="1">
        <v>1845</v>
      </c>
      <c r="C274" s="18" t="s">
        <v>85</v>
      </c>
      <c r="D274" s="1">
        <v>624</v>
      </c>
      <c r="E274" s="1">
        <v>624</v>
      </c>
      <c r="H274" s="15" t="s">
        <v>10</v>
      </c>
      <c r="I274" s="19"/>
    </row>
    <row r="275" spans="1:9">
      <c r="A275" s="8">
        <v>45895</v>
      </c>
      <c r="B275" s="1">
        <v>9625</v>
      </c>
      <c r="C275" s="18" t="s">
        <v>81</v>
      </c>
      <c r="D275" s="1">
        <v>468</v>
      </c>
      <c r="E275" s="1">
        <v>468</v>
      </c>
      <c r="H275" s="15" t="s">
        <v>10</v>
      </c>
      <c r="I275" s="19"/>
    </row>
    <row r="276" spans="1:9">
      <c r="A276" s="8">
        <v>45895</v>
      </c>
      <c r="B276" s="1">
        <v>9631</v>
      </c>
      <c r="C276" s="18" t="s">
        <v>111</v>
      </c>
      <c r="D276" s="1">
        <v>86</v>
      </c>
      <c r="E276" s="1">
        <v>86</v>
      </c>
      <c r="H276" s="15" t="s">
        <v>10</v>
      </c>
      <c r="I276" s="19"/>
    </row>
    <row r="277" spans="1:9">
      <c r="A277" s="8">
        <v>45895</v>
      </c>
      <c r="B277" s="1">
        <v>639</v>
      </c>
      <c r="C277" s="18" t="s">
        <v>102</v>
      </c>
      <c r="D277" s="1">
        <v>1</v>
      </c>
      <c r="E277" s="1">
        <v>1</v>
      </c>
      <c r="H277" s="15" t="s">
        <v>10</v>
      </c>
      <c r="I277" s="19"/>
    </row>
    <row r="278" spans="1:9">
      <c r="A278" s="8">
        <v>45895</v>
      </c>
      <c r="B278" s="1">
        <v>9909</v>
      </c>
      <c r="C278" s="18" t="s">
        <v>86</v>
      </c>
      <c r="D278" s="1">
        <v>116</v>
      </c>
      <c r="E278" s="1">
        <v>116</v>
      </c>
      <c r="H278" s="15" t="s">
        <v>10</v>
      </c>
      <c r="I278" s="19"/>
    </row>
    <row r="279" spans="1:9">
      <c r="A279" s="8">
        <v>45895</v>
      </c>
      <c r="B279" s="1">
        <v>9908</v>
      </c>
      <c r="C279" s="18" t="s">
        <v>89</v>
      </c>
      <c r="D279" s="1">
        <v>138</v>
      </c>
      <c r="E279" s="1">
        <v>138</v>
      </c>
      <c r="H279" s="15" t="s">
        <v>10</v>
      </c>
      <c r="I279" s="19"/>
    </row>
    <row r="280" spans="1:9">
      <c r="A280" s="8">
        <v>45895</v>
      </c>
      <c r="B280" s="1">
        <v>1909</v>
      </c>
      <c r="C280" s="18" t="s">
        <v>83</v>
      </c>
      <c r="D280" s="1">
        <v>596</v>
      </c>
      <c r="E280" s="1">
        <v>596</v>
      </c>
      <c r="H280" s="15" t="s">
        <v>10</v>
      </c>
      <c r="I280" s="19"/>
    </row>
    <row r="281" spans="1:9">
      <c r="A281" s="8">
        <v>45895</v>
      </c>
      <c r="B281" s="1">
        <v>1632</v>
      </c>
      <c r="C281" s="18" t="s">
        <v>78</v>
      </c>
      <c r="D281" s="1">
        <v>396</v>
      </c>
      <c r="E281" s="1">
        <v>396</v>
      </c>
      <c r="H281" s="15" t="s">
        <v>10</v>
      </c>
      <c r="I281" s="19"/>
    </row>
    <row r="282" spans="1:9">
      <c r="A282" s="8">
        <v>45895</v>
      </c>
      <c r="B282" s="1">
        <v>1653</v>
      </c>
      <c r="C282" s="18" t="s">
        <v>95</v>
      </c>
      <c r="D282" s="1">
        <v>972</v>
      </c>
      <c r="E282" s="1">
        <v>972</v>
      </c>
      <c r="H282" s="15" t="s">
        <v>10</v>
      </c>
      <c r="I282" s="19"/>
    </row>
    <row r="283" spans="1:9">
      <c r="A283" s="8">
        <v>45895</v>
      </c>
      <c r="B283" s="1">
        <v>1651</v>
      </c>
      <c r="C283" s="18" t="s">
        <v>103</v>
      </c>
      <c r="D283" s="1">
        <v>356</v>
      </c>
      <c r="E283" s="1">
        <v>356</v>
      </c>
      <c r="H283" s="15" t="s">
        <v>10</v>
      </c>
      <c r="I283" s="19"/>
    </row>
    <row r="284" spans="1:9">
      <c r="A284" s="8">
        <v>45895</v>
      </c>
      <c r="B284" s="1">
        <v>1843</v>
      </c>
      <c r="C284" s="18" t="s">
        <v>124</v>
      </c>
      <c r="D284" s="1">
        <v>60</v>
      </c>
      <c r="E284" s="1">
        <v>60</v>
      </c>
      <c r="H284" s="15" t="s">
        <v>10</v>
      </c>
      <c r="I284" s="19"/>
    </row>
    <row r="285" spans="1:9">
      <c r="A285" s="8">
        <v>45895</v>
      </c>
      <c r="B285" s="1">
        <v>650</v>
      </c>
      <c r="C285" s="18" t="s">
        <v>92</v>
      </c>
      <c r="D285" s="1">
        <v>70</v>
      </c>
      <c r="E285" s="1">
        <v>70</v>
      </c>
      <c r="H285" s="15" t="s">
        <v>10</v>
      </c>
      <c r="I285" s="19"/>
    </row>
    <row r="286" spans="1:9">
      <c r="A286" s="8">
        <v>45896</v>
      </c>
      <c r="B286" s="1">
        <v>9623</v>
      </c>
      <c r="C286" s="18" t="s">
        <v>87</v>
      </c>
      <c r="D286" s="1">
        <v>508</v>
      </c>
      <c r="E286" s="1">
        <v>508</v>
      </c>
      <c r="H286" s="15" t="s">
        <v>10</v>
      </c>
      <c r="I286" s="19">
        <f>SUM(E286:E298)</f>
        <v>5938</v>
      </c>
    </row>
    <row r="287" spans="1:9">
      <c r="A287" s="8">
        <v>45896</v>
      </c>
      <c r="B287" s="1">
        <v>9839</v>
      </c>
      <c r="C287" s="18" t="s">
        <v>93</v>
      </c>
      <c r="D287" s="1">
        <v>492</v>
      </c>
      <c r="E287" s="1">
        <v>492</v>
      </c>
      <c r="H287" s="15" t="s">
        <v>10</v>
      </c>
      <c r="I287" s="19"/>
    </row>
    <row r="288" spans="1:9">
      <c r="A288" s="8">
        <v>45896</v>
      </c>
      <c r="B288" s="1">
        <v>9623</v>
      </c>
      <c r="C288" s="18" t="s">
        <v>87</v>
      </c>
      <c r="D288" s="1">
        <v>596</v>
      </c>
      <c r="E288" s="1">
        <v>596</v>
      </c>
      <c r="H288" s="15" t="s">
        <v>10</v>
      </c>
      <c r="I288" s="19"/>
    </row>
    <row r="289" spans="1:9">
      <c r="A289" s="8">
        <v>45896</v>
      </c>
      <c r="B289" s="1">
        <v>650</v>
      </c>
      <c r="C289" s="18" t="s">
        <v>92</v>
      </c>
      <c r="D289" s="1">
        <v>228</v>
      </c>
      <c r="E289" s="1">
        <v>228</v>
      </c>
      <c r="H289" s="15" t="s">
        <v>10</v>
      </c>
      <c r="I289" s="19"/>
    </row>
    <row r="290" spans="1:9">
      <c r="A290" s="8">
        <v>45896</v>
      </c>
      <c r="B290" s="1">
        <v>9845</v>
      </c>
      <c r="C290" s="18" t="s">
        <v>80</v>
      </c>
      <c r="D290" s="1">
        <v>622</v>
      </c>
      <c r="E290" s="1">
        <v>622</v>
      </c>
      <c r="H290" s="15" t="s">
        <v>10</v>
      </c>
      <c r="I290" s="19"/>
    </row>
    <row r="291" spans="1:9">
      <c r="A291" s="8">
        <v>45896</v>
      </c>
      <c r="B291" s="1">
        <v>9632</v>
      </c>
      <c r="C291" s="18" t="s">
        <v>75</v>
      </c>
      <c r="D291" s="1">
        <v>324</v>
      </c>
      <c r="E291" s="1">
        <v>324</v>
      </c>
      <c r="H291" s="15" t="s">
        <v>10</v>
      </c>
      <c r="I291" s="19"/>
    </row>
    <row r="292" spans="1:9">
      <c r="A292" s="8">
        <v>45896</v>
      </c>
      <c r="B292" s="1">
        <v>639</v>
      </c>
      <c r="C292" s="18" t="s">
        <v>102</v>
      </c>
      <c r="D292" s="1">
        <v>762</v>
      </c>
      <c r="E292" s="1">
        <v>762</v>
      </c>
      <c r="H292" s="15" t="s">
        <v>10</v>
      </c>
      <c r="I292" s="19"/>
    </row>
    <row r="293" spans="1:9">
      <c r="A293" s="8">
        <v>45896</v>
      </c>
      <c r="B293" s="1">
        <v>9909</v>
      </c>
      <c r="C293" s="18" t="s">
        <v>86</v>
      </c>
      <c r="D293" s="1">
        <v>480</v>
      </c>
      <c r="E293" s="1">
        <v>480</v>
      </c>
      <c r="H293" s="15" t="s">
        <v>10</v>
      </c>
      <c r="I293" s="19"/>
    </row>
    <row r="294" spans="1:9">
      <c r="A294" s="8">
        <v>45896</v>
      </c>
      <c r="B294" s="1">
        <v>9908</v>
      </c>
      <c r="C294" s="18" t="s">
        <v>89</v>
      </c>
      <c r="D294" s="1">
        <v>354</v>
      </c>
      <c r="E294" s="1">
        <v>354</v>
      </c>
      <c r="H294" s="15" t="s">
        <v>10</v>
      </c>
      <c r="I294" s="19"/>
    </row>
    <row r="295" spans="1:9">
      <c r="A295" s="8">
        <v>45896</v>
      </c>
      <c r="B295" s="1">
        <v>1652</v>
      </c>
      <c r="C295" s="18" t="s">
        <v>104</v>
      </c>
      <c r="D295" s="1">
        <v>522</v>
      </c>
      <c r="E295" s="1">
        <v>522</v>
      </c>
      <c r="H295" s="15" t="s">
        <v>10</v>
      </c>
      <c r="I295" s="19"/>
    </row>
    <row r="296" spans="1:9">
      <c r="A296" s="8">
        <v>45896</v>
      </c>
      <c r="B296" s="1">
        <v>1909</v>
      </c>
      <c r="C296" s="18" t="s">
        <v>83</v>
      </c>
      <c r="D296" s="1">
        <v>522</v>
      </c>
      <c r="E296" s="1">
        <v>522</v>
      </c>
      <c r="H296" s="15" t="s">
        <v>10</v>
      </c>
      <c r="I296" s="19"/>
    </row>
    <row r="297" spans="1:9">
      <c r="A297" s="8">
        <v>45896</v>
      </c>
      <c r="B297" s="1">
        <v>1845</v>
      </c>
      <c r="C297" s="18" t="s">
        <v>85</v>
      </c>
      <c r="D297" s="1">
        <v>522</v>
      </c>
      <c r="E297" s="1">
        <v>522</v>
      </c>
      <c r="H297" s="15" t="s">
        <v>10</v>
      </c>
      <c r="I297" s="19"/>
    </row>
    <row r="298" spans="1:9">
      <c r="A298" s="8">
        <v>45896</v>
      </c>
      <c r="B298" s="1">
        <v>650</v>
      </c>
      <c r="C298" s="18" t="s">
        <v>92</v>
      </c>
      <c r="D298" s="1">
        <v>6</v>
      </c>
      <c r="E298" s="1">
        <v>6</v>
      </c>
      <c r="H298" s="15" t="s">
        <v>10</v>
      </c>
      <c r="I298" s="19"/>
    </row>
    <row r="299" spans="1:9">
      <c r="A299" s="8">
        <v>45897</v>
      </c>
      <c r="B299" s="1">
        <v>9632</v>
      </c>
      <c r="C299" s="18" t="s">
        <v>75</v>
      </c>
      <c r="D299" s="1">
        <v>376</v>
      </c>
      <c r="E299" s="1">
        <v>376</v>
      </c>
      <c r="H299" s="15" t="s">
        <v>10</v>
      </c>
      <c r="I299" s="19">
        <f>SUM(E299:E309)</f>
        <v>4371</v>
      </c>
    </row>
    <row r="300" spans="1:9">
      <c r="A300" s="8">
        <v>45897</v>
      </c>
      <c r="B300" s="1">
        <v>9625</v>
      </c>
      <c r="C300" s="18" t="s">
        <v>81</v>
      </c>
      <c r="D300" s="1">
        <v>252</v>
      </c>
      <c r="E300" s="1">
        <v>252</v>
      </c>
      <c r="H300" s="15" t="s">
        <v>10</v>
      </c>
      <c r="I300" s="19"/>
    </row>
    <row r="301" spans="1:9">
      <c r="A301" s="8">
        <v>45897</v>
      </c>
      <c r="B301" s="1">
        <v>650</v>
      </c>
      <c r="C301" s="18" t="s">
        <v>92</v>
      </c>
      <c r="D301" s="1">
        <v>234</v>
      </c>
      <c r="E301" s="1">
        <v>234</v>
      </c>
      <c r="H301" s="15" t="s">
        <v>10</v>
      </c>
      <c r="I301" s="19"/>
    </row>
    <row r="302" spans="1:9">
      <c r="A302" s="8">
        <v>45897</v>
      </c>
      <c r="B302" s="1">
        <v>9845</v>
      </c>
      <c r="C302" s="18" t="s">
        <v>80</v>
      </c>
      <c r="D302" s="1">
        <v>480</v>
      </c>
      <c r="E302" s="1">
        <v>480</v>
      </c>
      <c r="H302" s="15" t="s">
        <v>10</v>
      </c>
      <c r="I302" s="19"/>
    </row>
    <row r="303" spans="1:9">
      <c r="A303" s="8">
        <v>45897</v>
      </c>
      <c r="B303" s="1">
        <v>9843</v>
      </c>
      <c r="C303" s="18" t="s">
        <v>101</v>
      </c>
      <c r="D303" s="1">
        <v>126</v>
      </c>
      <c r="E303" s="1">
        <v>126</v>
      </c>
      <c r="H303" s="15" t="s">
        <v>10</v>
      </c>
      <c r="I303" s="19"/>
    </row>
    <row r="304" spans="1:9">
      <c r="A304" s="8">
        <v>45897</v>
      </c>
      <c r="B304" s="1">
        <v>1909</v>
      </c>
      <c r="C304" s="18" t="s">
        <v>83</v>
      </c>
      <c r="D304" s="1">
        <v>420</v>
      </c>
      <c r="E304" s="1">
        <v>420</v>
      </c>
      <c r="H304" s="15" t="s">
        <v>10</v>
      </c>
      <c r="I304" s="19"/>
    </row>
    <row r="305" spans="1:9">
      <c r="A305" s="8">
        <v>45897</v>
      </c>
      <c r="B305" s="1">
        <v>1908</v>
      </c>
      <c r="C305" s="18" t="s">
        <v>77</v>
      </c>
      <c r="D305" s="1">
        <v>324</v>
      </c>
      <c r="E305" s="1">
        <v>324</v>
      </c>
      <c r="H305" s="15" t="s">
        <v>10</v>
      </c>
      <c r="I305" s="19"/>
    </row>
    <row r="306" spans="1:9">
      <c r="A306" s="8">
        <v>45897</v>
      </c>
      <c r="B306" s="1">
        <v>639</v>
      </c>
      <c r="C306" s="18" t="s">
        <v>102</v>
      </c>
      <c r="D306" s="1">
        <v>576</v>
      </c>
      <c r="E306" s="1">
        <v>576</v>
      </c>
      <c r="H306" s="15" t="s">
        <v>10</v>
      </c>
      <c r="I306" s="19"/>
    </row>
    <row r="307" spans="1:9">
      <c r="A307" s="8">
        <v>45897</v>
      </c>
      <c r="B307" s="1">
        <v>1845</v>
      </c>
      <c r="C307" s="18" t="s">
        <v>85</v>
      </c>
      <c r="D307" s="1">
        <v>404</v>
      </c>
      <c r="E307" s="1">
        <v>404</v>
      </c>
      <c r="H307" s="15" t="s">
        <v>10</v>
      </c>
      <c r="I307" s="19"/>
    </row>
    <row r="308" spans="1:9">
      <c r="A308" s="8">
        <v>45897</v>
      </c>
      <c r="B308" s="1">
        <v>1651</v>
      </c>
      <c r="C308" s="18" t="s">
        <v>103</v>
      </c>
      <c r="D308" s="1">
        <v>393</v>
      </c>
      <c r="E308" s="1">
        <v>393</v>
      </c>
      <c r="H308" s="15" t="s">
        <v>10</v>
      </c>
      <c r="I308" s="19"/>
    </row>
    <row r="309" spans="1:9">
      <c r="A309" s="8">
        <v>45897</v>
      </c>
      <c r="B309" s="1">
        <v>1653</v>
      </c>
      <c r="C309" s="18" t="s">
        <v>95</v>
      </c>
      <c r="D309" s="1">
        <v>786</v>
      </c>
      <c r="E309" s="1">
        <v>786</v>
      </c>
      <c r="H309" s="15" t="s">
        <v>10</v>
      </c>
      <c r="I309" s="19"/>
    </row>
    <row r="310" spans="1:9">
      <c r="A310" s="8">
        <v>45898</v>
      </c>
      <c r="B310" s="1">
        <v>9632</v>
      </c>
      <c r="C310" s="18" t="s">
        <v>75</v>
      </c>
      <c r="D310" s="1">
        <v>460</v>
      </c>
      <c r="E310" s="1">
        <v>460</v>
      </c>
      <c r="H310" s="15" t="s">
        <v>10</v>
      </c>
      <c r="I310" s="19">
        <f>SUM(E310:E319)</f>
        <v>3576</v>
      </c>
    </row>
    <row r="311" spans="1:9">
      <c r="A311" s="8">
        <v>45898</v>
      </c>
      <c r="B311" s="1">
        <v>9845</v>
      </c>
      <c r="C311" s="18" t="s">
        <v>80</v>
      </c>
      <c r="D311" s="1">
        <v>268</v>
      </c>
      <c r="E311" s="1">
        <v>268</v>
      </c>
      <c r="H311" s="15" t="s">
        <v>10</v>
      </c>
      <c r="I311" s="19"/>
    </row>
    <row r="312" spans="1:9">
      <c r="A312" s="8">
        <v>45898</v>
      </c>
      <c r="B312" s="1">
        <v>9909</v>
      </c>
      <c r="C312" s="18" t="s">
        <v>86</v>
      </c>
      <c r="D312" s="1">
        <v>300</v>
      </c>
      <c r="E312" s="1">
        <v>300</v>
      </c>
      <c r="H312" s="15" t="s">
        <v>10</v>
      </c>
      <c r="I312" s="19"/>
    </row>
    <row r="313" spans="1:9">
      <c r="A313" s="8">
        <v>45898</v>
      </c>
      <c r="B313" s="1">
        <v>9908</v>
      </c>
      <c r="C313" s="18" t="s">
        <v>89</v>
      </c>
      <c r="D313" s="1">
        <v>236</v>
      </c>
      <c r="E313" s="1">
        <v>236</v>
      </c>
      <c r="H313" s="15" t="s">
        <v>10</v>
      </c>
      <c r="I313" s="19"/>
    </row>
    <row r="314" spans="1:9">
      <c r="A314" s="8">
        <v>45898</v>
      </c>
      <c r="B314" s="1">
        <v>1632</v>
      </c>
      <c r="C314" s="18" t="s">
        <v>78</v>
      </c>
      <c r="D314" s="1">
        <v>448</v>
      </c>
      <c r="E314" s="1">
        <v>448</v>
      </c>
      <c r="H314" s="15" t="s">
        <v>10</v>
      </c>
      <c r="I314" s="19"/>
    </row>
    <row r="315" spans="1:9">
      <c r="A315" s="8">
        <v>45898</v>
      </c>
      <c r="B315" s="1">
        <v>1653</v>
      </c>
      <c r="C315" s="18" t="s">
        <v>95</v>
      </c>
      <c r="D315" s="1">
        <v>472</v>
      </c>
      <c r="E315" s="1">
        <v>472</v>
      </c>
      <c r="H315" s="15" t="s">
        <v>10</v>
      </c>
      <c r="I315" s="19"/>
    </row>
    <row r="316" spans="1:9">
      <c r="A316" s="8">
        <v>45898</v>
      </c>
      <c r="B316" s="1">
        <v>1652</v>
      </c>
      <c r="C316" s="18" t="s">
        <v>104</v>
      </c>
      <c r="D316" s="1">
        <v>81</v>
      </c>
      <c r="E316" s="1">
        <v>81</v>
      </c>
      <c r="H316" s="15" t="s">
        <v>10</v>
      </c>
      <c r="I316" s="19"/>
    </row>
    <row r="317" spans="1:9">
      <c r="A317" s="8">
        <v>45898</v>
      </c>
      <c r="B317" s="1">
        <v>1656</v>
      </c>
      <c r="C317" s="18" t="s">
        <v>91</v>
      </c>
      <c r="D317" s="1">
        <v>627</v>
      </c>
      <c r="E317" s="1">
        <v>627</v>
      </c>
      <c r="H317" s="15" t="s">
        <v>10</v>
      </c>
      <c r="I317" s="19"/>
    </row>
    <row r="318" spans="1:9">
      <c r="A318" s="8">
        <v>45898</v>
      </c>
      <c r="B318" s="1">
        <v>1909</v>
      </c>
      <c r="C318" s="18" t="s">
        <v>83</v>
      </c>
      <c r="D318" s="1">
        <v>408</v>
      </c>
      <c r="E318" s="1">
        <v>408</v>
      </c>
      <c r="H318" s="15" t="s">
        <v>10</v>
      </c>
      <c r="I318" s="19"/>
    </row>
    <row r="319" spans="1:9">
      <c r="A319" s="8">
        <v>45898</v>
      </c>
      <c r="B319" s="1">
        <v>1908</v>
      </c>
      <c r="C319" s="18" t="s">
        <v>77</v>
      </c>
      <c r="D319" s="1">
        <v>276</v>
      </c>
      <c r="E319" s="1">
        <v>276</v>
      </c>
      <c r="H319" s="15" t="s">
        <v>10</v>
      </c>
      <c r="I319" s="19"/>
    </row>
    <row r="320" spans="1:9">
      <c r="A320" s="8">
        <v>45899</v>
      </c>
      <c r="B320" s="1">
        <v>1625</v>
      </c>
      <c r="C320" s="18" t="s">
        <v>90</v>
      </c>
      <c r="D320" s="1">
        <v>388</v>
      </c>
      <c r="E320" s="1">
        <v>388</v>
      </c>
      <c r="H320" s="15" t="s">
        <v>10</v>
      </c>
      <c r="I320" s="19">
        <f>SUM(E320:E327)</f>
        <v>1149</v>
      </c>
    </row>
    <row r="321" spans="1:9">
      <c r="A321" s="8">
        <v>45899</v>
      </c>
      <c r="B321" s="1">
        <v>9839</v>
      </c>
      <c r="C321" s="18" t="s">
        <v>93</v>
      </c>
      <c r="D321" s="1">
        <v>396</v>
      </c>
      <c r="E321" s="1">
        <v>396</v>
      </c>
      <c r="H321" s="15" t="s">
        <v>10</v>
      </c>
      <c r="I321" s="19"/>
    </row>
    <row r="322" spans="1:9">
      <c r="A322" s="8">
        <v>45899</v>
      </c>
      <c r="B322" s="1">
        <v>1639</v>
      </c>
      <c r="C322" s="18" t="s">
        <v>88</v>
      </c>
      <c r="D322" s="1">
        <v>316</v>
      </c>
      <c r="E322" s="1">
        <v>316</v>
      </c>
      <c r="H322" s="15" t="s">
        <v>10</v>
      </c>
      <c r="I322" s="19"/>
    </row>
    <row r="323" spans="1:9">
      <c r="A323" s="8">
        <v>45899</v>
      </c>
      <c r="B323" s="1">
        <v>9909</v>
      </c>
      <c r="C323" s="18" t="s">
        <v>86</v>
      </c>
      <c r="D323" s="1">
        <v>1</v>
      </c>
      <c r="E323" s="1">
        <v>1</v>
      </c>
      <c r="H323" s="15" t="s">
        <v>10</v>
      </c>
      <c r="I323" s="19"/>
    </row>
    <row r="324" spans="1:9">
      <c r="A324" s="8">
        <v>45899</v>
      </c>
      <c r="B324" s="1">
        <v>9845</v>
      </c>
      <c r="C324" s="18" t="s">
        <v>80</v>
      </c>
      <c r="D324" s="1">
        <v>10</v>
      </c>
      <c r="E324" s="1">
        <v>10</v>
      </c>
      <c r="H324" s="15" t="s">
        <v>10</v>
      </c>
      <c r="I324" s="19"/>
    </row>
    <row r="325" spans="1:9">
      <c r="A325" s="8">
        <v>45899</v>
      </c>
      <c r="B325" s="1">
        <v>1845</v>
      </c>
      <c r="C325" s="18" t="s">
        <v>85</v>
      </c>
      <c r="D325" s="1">
        <v>16</v>
      </c>
      <c r="E325" s="1">
        <v>16</v>
      </c>
      <c r="H325" s="15" t="s">
        <v>10</v>
      </c>
      <c r="I325" s="19"/>
    </row>
    <row r="326" spans="1:9">
      <c r="A326" s="8">
        <v>45899</v>
      </c>
      <c r="B326" s="1">
        <v>1639</v>
      </c>
      <c r="C326" s="18" t="s">
        <v>88</v>
      </c>
      <c r="D326" s="1">
        <v>12</v>
      </c>
      <c r="E326" s="1">
        <v>12</v>
      </c>
      <c r="H326" s="15" t="s">
        <v>10</v>
      </c>
      <c r="I326" s="19"/>
    </row>
    <row r="327" spans="1:9">
      <c r="A327" s="8">
        <v>45899</v>
      </c>
      <c r="B327" s="1">
        <v>1656</v>
      </c>
      <c r="C327" s="18" t="s">
        <v>91</v>
      </c>
      <c r="D327" s="1">
        <v>10</v>
      </c>
      <c r="E327" s="1">
        <v>10</v>
      </c>
      <c r="H327" s="15" t="s">
        <v>10</v>
      </c>
      <c r="I327" s="19"/>
    </row>
    <row r="328" spans="1:9">
      <c r="A328" s="8">
        <v>45900</v>
      </c>
      <c r="B328" s="1">
        <v>1632</v>
      </c>
      <c r="C328" s="18" t="s">
        <v>78</v>
      </c>
      <c r="D328" s="1">
        <v>428</v>
      </c>
      <c r="E328" s="1">
        <v>428</v>
      </c>
      <c r="H328" s="15" t="s">
        <v>10</v>
      </c>
      <c r="I328" s="19">
        <f>SUM(E328:E340)</f>
        <v>2345</v>
      </c>
    </row>
    <row r="329" spans="1:9">
      <c r="A329" s="8">
        <v>45900</v>
      </c>
      <c r="B329" s="1">
        <v>1639</v>
      </c>
      <c r="C329" s="18" t="s">
        <v>88</v>
      </c>
      <c r="D329" s="1">
        <v>384</v>
      </c>
      <c r="E329" s="1">
        <v>384</v>
      </c>
      <c r="H329" s="15" t="s">
        <v>10</v>
      </c>
      <c r="I329" s="19"/>
    </row>
    <row r="330" spans="1:9">
      <c r="A330" s="8">
        <v>45900</v>
      </c>
      <c r="B330" s="1">
        <v>1909</v>
      </c>
      <c r="C330" s="18" t="s">
        <v>83</v>
      </c>
      <c r="D330" s="1">
        <v>102</v>
      </c>
      <c r="E330" s="1">
        <v>102</v>
      </c>
      <c r="H330" s="15" t="s">
        <v>10</v>
      </c>
      <c r="I330" s="19"/>
    </row>
    <row r="331" spans="1:9">
      <c r="A331" s="8">
        <v>45900</v>
      </c>
      <c r="B331" s="1">
        <v>1908</v>
      </c>
      <c r="C331" s="18" t="s">
        <v>77</v>
      </c>
      <c r="D331" s="1">
        <v>420</v>
      </c>
      <c r="E331" s="1">
        <v>420</v>
      </c>
      <c r="H331" s="15" t="s">
        <v>10</v>
      </c>
      <c r="I331" s="19"/>
    </row>
    <row r="332" spans="1:9">
      <c r="A332" s="8">
        <v>45900</v>
      </c>
      <c r="B332" s="1">
        <v>9843</v>
      </c>
      <c r="C332" s="18" t="s">
        <v>101</v>
      </c>
      <c r="D332" s="1">
        <v>80</v>
      </c>
      <c r="E332" s="1">
        <v>80</v>
      </c>
      <c r="H332" s="15" t="s">
        <v>10</v>
      </c>
      <c r="I332" s="19"/>
    </row>
    <row r="333" spans="1:9">
      <c r="A333" s="8">
        <v>45900</v>
      </c>
      <c r="B333" s="1">
        <v>9845</v>
      </c>
      <c r="C333" s="18" t="s">
        <v>80</v>
      </c>
      <c r="D333" s="1">
        <v>264</v>
      </c>
      <c r="E333" s="1">
        <v>264</v>
      </c>
      <c r="H333" s="15" t="s">
        <v>10</v>
      </c>
      <c r="I333" s="19"/>
    </row>
    <row r="334" spans="1:9">
      <c r="A334" s="8">
        <v>45900</v>
      </c>
      <c r="B334" s="1">
        <v>9908</v>
      </c>
      <c r="C334" s="18" t="s">
        <v>89</v>
      </c>
      <c r="D334" s="1">
        <v>182</v>
      </c>
      <c r="E334" s="1">
        <v>182</v>
      </c>
      <c r="H334" s="15" t="s">
        <v>10</v>
      </c>
      <c r="I334" s="19"/>
    </row>
    <row r="335" spans="1:9">
      <c r="A335" s="8">
        <v>45900</v>
      </c>
      <c r="B335" s="1">
        <v>9909</v>
      </c>
      <c r="C335" s="18" t="s">
        <v>86</v>
      </c>
      <c r="D335" s="1">
        <v>55</v>
      </c>
      <c r="E335" s="1">
        <v>55</v>
      </c>
      <c r="H335" s="15" t="s">
        <v>10</v>
      </c>
      <c r="I335" s="19"/>
    </row>
    <row r="336" spans="1:9">
      <c r="A336" s="8">
        <v>45900</v>
      </c>
      <c r="B336" s="1">
        <v>9632</v>
      </c>
      <c r="C336" s="18" t="s">
        <v>75</v>
      </c>
      <c r="D336" s="1">
        <v>62</v>
      </c>
      <c r="E336" s="1">
        <v>62</v>
      </c>
      <c r="H336" s="15" t="s">
        <v>10</v>
      </c>
      <c r="I336" s="19"/>
    </row>
    <row r="337" spans="1:10">
      <c r="A337" s="8">
        <v>45900</v>
      </c>
      <c r="B337" s="1">
        <v>650</v>
      </c>
      <c r="C337" s="18" t="s">
        <v>92</v>
      </c>
      <c r="D337" s="1">
        <v>110</v>
      </c>
      <c r="E337" s="1">
        <v>110</v>
      </c>
      <c r="H337" s="15" t="s">
        <v>10</v>
      </c>
      <c r="I337" s="19"/>
    </row>
    <row r="338" spans="1:10">
      <c r="A338" s="8">
        <v>45900</v>
      </c>
      <c r="B338" s="1">
        <v>9636</v>
      </c>
      <c r="C338" s="18" t="s">
        <v>112</v>
      </c>
      <c r="D338" s="1">
        <v>100</v>
      </c>
      <c r="E338" s="1">
        <v>100</v>
      </c>
      <c r="H338" s="15" t="s">
        <v>10</v>
      </c>
      <c r="I338" s="19"/>
    </row>
    <row r="339" spans="1:10">
      <c r="A339" s="8">
        <v>45900</v>
      </c>
      <c r="B339" s="1">
        <v>9627</v>
      </c>
      <c r="C339" s="18" t="s">
        <v>82</v>
      </c>
      <c r="D339" s="1">
        <v>124</v>
      </c>
      <c r="E339" s="1">
        <v>124</v>
      </c>
      <c r="H339" s="15" t="s">
        <v>10</v>
      </c>
      <c r="I339" s="19"/>
    </row>
    <row r="340" spans="1:10">
      <c r="A340" s="8">
        <v>45900</v>
      </c>
      <c r="B340" s="1">
        <v>9842</v>
      </c>
      <c r="C340" s="18" t="s">
        <v>118</v>
      </c>
      <c r="D340" s="1">
        <v>34</v>
      </c>
      <c r="E340" s="1">
        <v>34</v>
      </c>
      <c r="H340" s="15" t="s">
        <v>10</v>
      </c>
      <c r="I340" s="19"/>
    </row>
    <row r="341" spans="1:10">
      <c r="I341" s="1" t="s">
        <v>125</v>
      </c>
      <c r="J341" s="1">
        <f>SUM(I2:I340)</f>
        <v>148817</v>
      </c>
    </row>
    <row r="342" spans="1:10">
      <c r="J342" s="1">
        <f>J341*0.05</f>
        <v>7440.85</v>
      </c>
    </row>
    <row r="343" spans="1:10">
      <c r="G343" s="1" t="s">
        <v>126</v>
      </c>
      <c r="J343" s="1" t="s">
        <v>127</v>
      </c>
    </row>
    <row r="344" spans="1:10">
      <c r="J344" s="1">
        <f>8390*0.05</f>
        <v>419.5</v>
      </c>
    </row>
    <row r="345" spans="1:10">
      <c r="I345" s="1" t="s">
        <v>70</v>
      </c>
      <c r="J345" s="1">
        <f>J341+8390</f>
        <v>157207</v>
      </c>
    </row>
    <row r="346" spans="1:10">
      <c r="J346" s="1">
        <f>J342+J344</f>
        <v>7860.35</v>
      </c>
    </row>
  </sheetData>
  <mergeCells count="31">
    <mergeCell ref="I2:I6"/>
    <mergeCell ref="I7:I14"/>
    <mergeCell ref="I15:I29"/>
    <mergeCell ref="I30:I35"/>
    <mergeCell ref="I36:I45"/>
    <mergeCell ref="I46:I54"/>
    <mergeCell ref="I55:I67"/>
    <mergeCell ref="I68:I77"/>
    <mergeCell ref="I78:I93"/>
    <mergeCell ref="I94:I102"/>
    <mergeCell ref="I103:I113"/>
    <mergeCell ref="I114:I125"/>
    <mergeCell ref="I126:I138"/>
    <mergeCell ref="I139:I150"/>
    <mergeCell ref="I151:I162"/>
    <mergeCell ref="I163:I168"/>
    <mergeCell ref="I169:I184"/>
    <mergeCell ref="I185:I194"/>
    <mergeCell ref="I195:I206"/>
    <mergeCell ref="I207:I223"/>
    <mergeCell ref="I224:I234"/>
    <mergeCell ref="I235:I241"/>
    <mergeCell ref="I242:I254"/>
    <mergeCell ref="I255:I261"/>
    <mergeCell ref="I262:I270"/>
    <mergeCell ref="I271:I285"/>
    <mergeCell ref="I286:I298"/>
    <mergeCell ref="I299:I309"/>
    <mergeCell ref="I310:I319"/>
    <mergeCell ref="I320:I327"/>
    <mergeCell ref="I328:I34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6"/>
  <sheetViews>
    <sheetView workbookViewId="0">
      <pane ySplit="1" topLeftCell="A3" activePane="bottomLeft" state="frozen"/>
      <selection/>
      <selection pane="bottomLeft" activeCell="A12" sqref="A12"/>
    </sheetView>
  </sheetViews>
  <sheetFormatPr defaultColWidth="10" defaultRowHeight="13.5"/>
  <cols>
    <col min="1" max="2" width="10" style="1" customWidth="1"/>
    <col min="3" max="3" width="10" style="2" customWidth="1"/>
    <col min="4" max="9" width="10" style="1" customWidth="1"/>
  </cols>
  <sheetData>
    <row r="1" spans="1:16">
      <c r="A1" s="3" t="s">
        <v>0</v>
      </c>
      <c r="B1" s="4" t="s">
        <v>1</v>
      </c>
      <c r="C1" s="2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25">
        <v>45849</v>
      </c>
      <c r="B2" s="1">
        <v>9845</v>
      </c>
      <c r="C2" s="26" t="s">
        <v>80</v>
      </c>
      <c r="D2" s="1">
        <v>420</v>
      </c>
      <c r="E2" s="1">
        <v>420</v>
      </c>
      <c r="H2" s="1" t="s">
        <v>10</v>
      </c>
      <c r="I2" s="19">
        <f>SUM(E2:E5)</f>
        <v>1378</v>
      </c>
    </row>
    <row r="3" spans="1:16">
      <c r="A3" s="25">
        <v>45849</v>
      </c>
      <c r="B3" s="1">
        <v>9843</v>
      </c>
      <c r="C3" s="26" t="s">
        <v>101</v>
      </c>
      <c r="D3" s="1">
        <v>210</v>
      </c>
      <c r="E3" s="1">
        <v>210</v>
      </c>
      <c r="H3" s="1" t="s">
        <v>10</v>
      </c>
      <c r="I3" s="19"/>
    </row>
    <row r="4" spans="1:16">
      <c r="A4" s="25">
        <v>45849</v>
      </c>
      <c r="B4" s="1">
        <v>9623</v>
      </c>
      <c r="C4" s="26" t="s">
        <v>87</v>
      </c>
      <c r="D4" s="1">
        <v>374</v>
      </c>
      <c r="E4" s="1">
        <v>374</v>
      </c>
      <c r="H4" s="1" t="s">
        <v>10</v>
      </c>
      <c r="I4" s="19"/>
    </row>
    <row r="5" spans="1:16">
      <c r="A5" s="25">
        <v>45849</v>
      </c>
      <c r="B5" s="1">
        <v>9625</v>
      </c>
      <c r="C5" s="26" t="s">
        <v>81</v>
      </c>
      <c r="D5" s="1">
        <v>374</v>
      </c>
      <c r="E5" s="1">
        <v>374</v>
      </c>
      <c r="H5" s="1" t="s">
        <v>10</v>
      </c>
      <c r="I5" s="19"/>
    </row>
    <row r="6" spans="1:16">
      <c r="A6" s="25">
        <v>45850</v>
      </c>
      <c r="B6" s="1">
        <v>9845</v>
      </c>
      <c r="C6" s="26" t="s">
        <v>80</v>
      </c>
      <c r="D6" s="1">
        <v>392</v>
      </c>
      <c r="E6" s="1">
        <v>392</v>
      </c>
      <c r="H6" s="1" t="s">
        <v>10</v>
      </c>
      <c r="I6" s="19">
        <f>SUM(E6:E11)</f>
        <v>2008</v>
      </c>
    </row>
    <row r="7" spans="1:16">
      <c r="A7" s="25">
        <v>45850</v>
      </c>
      <c r="B7" s="1">
        <v>9843</v>
      </c>
      <c r="C7" s="26" t="s">
        <v>101</v>
      </c>
      <c r="D7" s="1">
        <v>196</v>
      </c>
      <c r="E7" s="1">
        <v>196</v>
      </c>
      <c r="H7" s="1" t="s">
        <v>10</v>
      </c>
      <c r="I7" s="19"/>
    </row>
    <row r="8" spans="1:16">
      <c r="A8" s="25">
        <v>45850</v>
      </c>
      <c r="B8" s="1">
        <v>9809</v>
      </c>
      <c r="C8" s="26" t="s">
        <v>128</v>
      </c>
      <c r="D8" s="1">
        <v>332</v>
      </c>
      <c r="E8" s="1">
        <v>332</v>
      </c>
      <c r="H8" s="1" t="s">
        <v>10</v>
      </c>
      <c r="I8" s="19"/>
    </row>
    <row r="9" spans="1:16">
      <c r="A9" s="25">
        <v>45850</v>
      </c>
      <c r="B9" s="1">
        <v>9835</v>
      </c>
      <c r="C9" s="26" t="s">
        <v>105</v>
      </c>
      <c r="D9" s="1">
        <v>332</v>
      </c>
      <c r="E9" s="1">
        <v>332</v>
      </c>
      <c r="H9" s="1" t="s">
        <v>10</v>
      </c>
      <c r="I9" s="19"/>
    </row>
    <row r="10" spans="1:16">
      <c r="A10" s="25">
        <v>45850</v>
      </c>
      <c r="B10" s="1">
        <v>9623</v>
      </c>
      <c r="C10" s="26" t="s">
        <v>87</v>
      </c>
      <c r="D10" s="1">
        <v>378</v>
      </c>
      <c r="E10" s="1">
        <v>378</v>
      </c>
      <c r="H10" s="1" t="s">
        <v>10</v>
      </c>
      <c r="I10" s="19"/>
    </row>
    <row r="11" spans="1:16">
      <c r="A11" s="25">
        <v>45850</v>
      </c>
      <c r="B11" s="1">
        <v>9625</v>
      </c>
      <c r="C11" s="26" t="s">
        <v>81</v>
      </c>
      <c r="D11" s="1">
        <v>378</v>
      </c>
      <c r="E11" s="1">
        <v>378</v>
      </c>
      <c r="H11" s="1" t="s">
        <v>10</v>
      </c>
      <c r="I11" s="19"/>
    </row>
    <row r="12" spans="1:16">
      <c r="A12" s="25">
        <v>45851</v>
      </c>
      <c r="B12" s="1">
        <v>9875</v>
      </c>
      <c r="C12" s="26" t="s">
        <v>43</v>
      </c>
      <c r="D12" s="1">
        <v>564</v>
      </c>
      <c r="E12" s="1">
        <v>564</v>
      </c>
      <c r="H12" s="1" t="s">
        <v>10</v>
      </c>
      <c r="I12" s="19">
        <f>SUM(E12:E19)</f>
        <v>2454</v>
      </c>
    </row>
    <row r="13" spans="1:16">
      <c r="A13" s="25">
        <v>45851</v>
      </c>
      <c r="B13" s="1">
        <v>9836</v>
      </c>
      <c r="C13" s="26" t="s">
        <v>129</v>
      </c>
      <c r="D13" s="1">
        <v>238</v>
      </c>
      <c r="E13" s="1">
        <v>238</v>
      </c>
      <c r="H13" s="1" t="s">
        <v>10</v>
      </c>
      <c r="I13" s="19"/>
    </row>
    <row r="14" spans="1:16">
      <c r="A14" s="25">
        <v>45851</v>
      </c>
      <c r="B14" s="1">
        <v>9837</v>
      </c>
      <c r="C14" s="26" t="s">
        <v>130</v>
      </c>
      <c r="D14" s="1">
        <v>238</v>
      </c>
      <c r="E14" s="1">
        <v>238</v>
      </c>
      <c r="H14" s="1" t="s">
        <v>10</v>
      </c>
      <c r="I14" s="19"/>
    </row>
    <row r="15" spans="1:16">
      <c r="A15" s="25">
        <v>45851</v>
      </c>
      <c r="B15" s="1">
        <v>9838</v>
      </c>
      <c r="C15" s="26" t="s">
        <v>113</v>
      </c>
      <c r="D15" s="1">
        <v>238</v>
      </c>
      <c r="E15" s="1">
        <v>238</v>
      </c>
      <c r="H15" s="1" t="s">
        <v>10</v>
      </c>
      <c r="I15" s="19"/>
    </row>
    <row r="16" spans="1:16">
      <c r="A16" s="25">
        <v>45851</v>
      </c>
      <c r="B16" s="1">
        <v>9623</v>
      </c>
      <c r="C16" s="26" t="s">
        <v>87</v>
      </c>
      <c r="D16" s="1">
        <v>294</v>
      </c>
      <c r="E16" s="1">
        <v>294</v>
      </c>
      <c r="H16" s="1" t="s">
        <v>10</v>
      </c>
      <c r="I16" s="19"/>
    </row>
    <row r="17" spans="1:9">
      <c r="A17" s="25">
        <v>45851</v>
      </c>
      <c r="B17" s="1">
        <v>9625</v>
      </c>
      <c r="C17" s="26" t="s">
        <v>81</v>
      </c>
      <c r="D17" s="1">
        <v>294</v>
      </c>
      <c r="E17" s="1">
        <v>294</v>
      </c>
      <c r="H17" s="1" t="s">
        <v>10</v>
      </c>
      <c r="I17" s="19"/>
    </row>
    <row r="18" spans="1:9">
      <c r="A18" s="25">
        <v>45851</v>
      </c>
      <c r="B18" s="1">
        <v>9845</v>
      </c>
      <c r="C18" s="26" t="s">
        <v>80</v>
      </c>
      <c r="D18" s="1">
        <v>294</v>
      </c>
      <c r="E18" s="1">
        <v>294</v>
      </c>
      <c r="H18" s="1" t="s">
        <v>10</v>
      </c>
      <c r="I18" s="19"/>
    </row>
    <row r="19" spans="1:9">
      <c r="A19" s="25">
        <v>45851</v>
      </c>
      <c r="B19" s="1">
        <v>9908</v>
      </c>
      <c r="C19" s="26" t="s">
        <v>89</v>
      </c>
      <c r="D19" s="1">
        <v>294</v>
      </c>
      <c r="E19" s="1">
        <v>294</v>
      </c>
      <c r="H19" s="1" t="s">
        <v>10</v>
      </c>
      <c r="I19" s="19"/>
    </row>
    <row r="20" spans="1:9">
      <c r="A20" s="25">
        <v>45853</v>
      </c>
      <c r="B20" s="1">
        <v>9809</v>
      </c>
      <c r="C20" s="26" t="s">
        <v>128</v>
      </c>
      <c r="D20" s="1">
        <v>230</v>
      </c>
      <c r="E20" s="1">
        <v>230</v>
      </c>
      <c r="H20" s="1" t="s">
        <v>10</v>
      </c>
      <c r="I20" s="19">
        <f>SUM(E20:E31)</f>
        <v>3192</v>
      </c>
    </row>
    <row r="21" spans="1:9">
      <c r="A21" s="25">
        <v>45853</v>
      </c>
      <c r="B21" s="1">
        <v>9835</v>
      </c>
      <c r="C21" s="26" t="s">
        <v>105</v>
      </c>
      <c r="D21" s="1">
        <v>230</v>
      </c>
      <c r="E21" s="1">
        <v>230</v>
      </c>
      <c r="H21" s="1" t="s">
        <v>10</v>
      </c>
      <c r="I21" s="19"/>
    </row>
    <row r="22" spans="1:9">
      <c r="A22" s="25">
        <v>45853</v>
      </c>
      <c r="B22" s="1">
        <v>9837</v>
      </c>
      <c r="C22" s="26" t="s">
        <v>130</v>
      </c>
      <c r="D22" s="1">
        <v>230</v>
      </c>
      <c r="E22" s="1">
        <v>230</v>
      </c>
      <c r="H22" s="1" t="s">
        <v>10</v>
      </c>
      <c r="I22" s="19"/>
    </row>
    <row r="23" spans="1:9">
      <c r="A23" s="25">
        <v>45853</v>
      </c>
      <c r="B23" s="1">
        <v>9838</v>
      </c>
      <c r="C23" s="26" t="s">
        <v>113</v>
      </c>
      <c r="D23" s="1">
        <v>230</v>
      </c>
      <c r="E23" s="1">
        <v>230</v>
      </c>
      <c r="H23" s="1" t="s">
        <v>10</v>
      </c>
      <c r="I23" s="19"/>
    </row>
    <row r="24" spans="1:9">
      <c r="A24" s="25">
        <v>45853</v>
      </c>
      <c r="B24" s="1">
        <v>9875</v>
      </c>
      <c r="C24" s="26" t="s">
        <v>43</v>
      </c>
      <c r="D24" s="1">
        <v>586</v>
      </c>
      <c r="E24" s="1">
        <v>586</v>
      </c>
      <c r="H24" s="1" t="s">
        <v>10</v>
      </c>
      <c r="I24" s="19"/>
    </row>
    <row r="25" spans="1:9">
      <c r="A25" s="25">
        <v>45853</v>
      </c>
      <c r="B25" s="1">
        <v>875</v>
      </c>
      <c r="C25" s="26" t="s">
        <v>42</v>
      </c>
      <c r="D25" s="1">
        <v>20</v>
      </c>
      <c r="E25" s="1">
        <v>20</v>
      </c>
      <c r="H25" s="1" t="s">
        <v>10</v>
      </c>
      <c r="I25" s="19"/>
    </row>
    <row r="26" spans="1:9">
      <c r="A26" s="25">
        <v>45853</v>
      </c>
      <c r="B26" s="1">
        <v>880</v>
      </c>
      <c r="C26" s="26" t="s">
        <v>32</v>
      </c>
      <c r="D26" s="1">
        <v>96</v>
      </c>
      <c r="E26" s="1">
        <v>96</v>
      </c>
      <c r="H26" s="1" t="s">
        <v>10</v>
      </c>
      <c r="I26" s="19"/>
    </row>
    <row r="27" spans="1:9">
      <c r="A27" s="25">
        <v>45853</v>
      </c>
      <c r="B27" s="1">
        <v>835</v>
      </c>
      <c r="C27" s="26" t="s">
        <v>64</v>
      </c>
      <c r="D27" s="1">
        <v>46</v>
      </c>
      <c r="E27" s="1">
        <v>46</v>
      </c>
      <c r="H27" s="1" t="s">
        <v>10</v>
      </c>
      <c r="I27" s="19"/>
    </row>
    <row r="28" spans="1:9">
      <c r="A28" s="25">
        <v>45853</v>
      </c>
      <c r="B28" s="1">
        <v>885</v>
      </c>
      <c r="C28" s="26" t="s">
        <v>48</v>
      </c>
      <c r="D28" s="1">
        <v>48</v>
      </c>
      <c r="E28" s="1">
        <v>48</v>
      </c>
      <c r="H28" s="1" t="s">
        <v>10</v>
      </c>
      <c r="I28" s="19"/>
    </row>
    <row r="29" spans="1:9">
      <c r="A29" s="25">
        <v>45853</v>
      </c>
      <c r="B29" s="1">
        <v>9627</v>
      </c>
      <c r="C29" s="26" t="s">
        <v>82</v>
      </c>
      <c r="D29" s="1">
        <v>492</v>
      </c>
      <c r="E29" s="1">
        <v>492</v>
      </c>
      <c r="H29" s="1" t="s">
        <v>10</v>
      </c>
      <c r="I29" s="19"/>
    </row>
    <row r="30" spans="1:9">
      <c r="A30" s="25">
        <v>45853</v>
      </c>
      <c r="B30" s="1">
        <v>9630</v>
      </c>
      <c r="C30" s="26" t="s">
        <v>116</v>
      </c>
      <c r="D30" s="1">
        <v>492</v>
      </c>
      <c r="E30" s="1">
        <v>492</v>
      </c>
      <c r="H30" s="1" t="s">
        <v>10</v>
      </c>
      <c r="I30" s="19"/>
    </row>
    <row r="31" spans="1:9">
      <c r="A31" s="25">
        <v>45853</v>
      </c>
      <c r="B31" s="1">
        <v>9842</v>
      </c>
      <c r="C31" s="26" t="s">
        <v>118</v>
      </c>
      <c r="D31" s="1">
        <v>492</v>
      </c>
      <c r="E31" s="1">
        <v>492</v>
      </c>
      <c r="H31" s="1" t="s">
        <v>10</v>
      </c>
      <c r="I31" s="19"/>
    </row>
    <row r="32" spans="1:9">
      <c r="A32" s="25">
        <v>45854</v>
      </c>
      <c r="B32" s="1">
        <v>9623</v>
      </c>
      <c r="C32" s="26" t="s">
        <v>87</v>
      </c>
      <c r="D32" s="1">
        <v>393</v>
      </c>
      <c r="E32" s="1">
        <v>393</v>
      </c>
      <c r="H32" s="1" t="s">
        <v>10</v>
      </c>
      <c r="I32" s="19">
        <f>SUM(E32:E35)</f>
        <v>1479</v>
      </c>
    </row>
    <row r="33" spans="1:9">
      <c r="A33" s="25">
        <v>45854</v>
      </c>
      <c r="B33" s="1">
        <v>9845</v>
      </c>
      <c r="C33" s="26" t="s">
        <v>80</v>
      </c>
      <c r="D33" s="1">
        <v>393</v>
      </c>
      <c r="E33" s="1">
        <v>393</v>
      </c>
      <c r="H33" s="1" t="s">
        <v>10</v>
      </c>
      <c r="I33" s="19"/>
    </row>
    <row r="34" spans="1:9">
      <c r="A34" s="25">
        <v>45854</v>
      </c>
      <c r="B34" s="1">
        <v>9908</v>
      </c>
      <c r="C34" s="26" t="s">
        <v>89</v>
      </c>
      <c r="D34" s="1">
        <v>393</v>
      </c>
      <c r="E34" s="1">
        <v>393</v>
      </c>
      <c r="H34" s="1" t="s">
        <v>10</v>
      </c>
      <c r="I34" s="19"/>
    </row>
    <row r="35" spans="1:9">
      <c r="A35" s="25">
        <v>45854</v>
      </c>
      <c r="B35" s="1">
        <v>838</v>
      </c>
      <c r="C35" s="26" t="s">
        <v>41</v>
      </c>
      <c r="D35" s="1">
        <v>300</v>
      </c>
      <c r="E35" s="1">
        <v>300</v>
      </c>
      <c r="H35" s="1" t="s">
        <v>10</v>
      </c>
      <c r="I35" s="19"/>
    </row>
    <row r="36" spans="1:9">
      <c r="A36" s="25">
        <v>45855</v>
      </c>
      <c r="B36" s="1">
        <v>9623</v>
      </c>
      <c r="C36" s="26" t="s">
        <v>87</v>
      </c>
      <c r="D36" s="1">
        <v>714</v>
      </c>
      <c r="E36" s="1">
        <v>714</v>
      </c>
      <c r="H36" s="1" t="s">
        <v>10</v>
      </c>
      <c r="I36" s="19">
        <f>SUM(E36:E43)</f>
        <v>4182</v>
      </c>
    </row>
    <row r="37" spans="1:9">
      <c r="A37" s="25">
        <v>45855</v>
      </c>
      <c r="B37" s="1">
        <v>9908</v>
      </c>
      <c r="C37" s="26" t="s">
        <v>89</v>
      </c>
      <c r="D37" s="1">
        <v>720</v>
      </c>
      <c r="E37" s="1">
        <v>720</v>
      </c>
      <c r="H37" s="1" t="s">
        <v>10</v>
      </c>
      <c r="I37" s="19"/>
    </row>
    <row r="38" spans="1:9">
      <c r="A38" s="25">
        <v>45855</v>
      </c>
      <c r="B38" s="1">
        <v>9845</v>
      </c>
      <c r="C38" s="26" t="s">
        <v>80</v>
      </c>
      <c r="D38" s="1">
        <v>452</v>
      </c>
      <c r="E38" s="1">
        <v>452</v>
      </c>
      <c r="H38" s="1" t="s">
        <v>10</v>
      </c>
      <c r="I38" s="19"/>
    </row>
    <row r="39" spans="1:9">
      <c r="A39" s="25">
        <v>45855</v>
      </c>
      <c r="B39" s="1">
        <v>9845</v>
      </c>
      <c r="C39" s="26" t="s">
        <v>80</v>
      </c>
      <c r="D39" s="1">
        <v>396</v>
      </c>
      <c r="E39" s="1">
        <v>396</v>
      </c>
      <c r="H39" s="1" t="s">
        <v>10</v>
      </c>
      <c r="I39" s="19"/>
    </row>
    <row r="40" spans="1:9">
      <c r="A40" s="25">
        <v>45855</v>
      </c>
      <c r="B40" s="1">
        <v>1845</v>
      </c>
      <c r="C40" s="26" t="s">
        <v>85</v>
      </c>
      <c r="D40" s="1">
        <v>396</v>
      </c>
      <c r="E40" s="1">
        <v>396</v>
      </c>
      <c r="H40" s="1" t="s">
        <v>10</v>
      </c>
      <c r="I40" s="19"/>
    </row>
    <row r="41" spans="1:9">
      <c r="A41" s="25">
        <v>45855</v>
      </c>
      <c r="B41" s="1">
        <v>9905</v>
      </c>
      <c r="C41" s="26" t="s">
        <v>131</v>
      </c>
      <c r="D41" s="1">
        <v>396</v>
      </c>
      <c r="E41" s="1">
        <v>396</v>
      </c>
      <c r="H41" s="1" t="s">
        <v>10</v>
      </c>
      <c r="I41" s="19"/>
    </row>
    <row r="42" spans="1:9">
      <c r="A42" s="25">
        <v>45855</v>
      </c>
      <c r="B42" s="1">
        <v>1908</v>
      </c>
      <c r="C42" s="26" t="s">
        <v>77</v>
      </c>
      <c r="D42" s="1">
        <v>396</v>
      </c>
      <c r="E42" s="1">
        <v>396</v>
      </c>
      <c r="H42" s="1" t="s">
        <v>10</v>
      </c>
      <c r="I42" s="19"/>
    </row>
    <row r="43" spans="1:9">
      <c r="A43" s="25">
        <v>45855</v>
      </c>
      <c r="B43" s="1">
        <v>9099</v>
      </c>
      <c r="C43" s="26" t="s">
        <v>132</v>
      </c>
      <c r="D43" s="1">
        <v>712</v>
      </c>
      <c r="E43" s="1">
        <v>712</v>
      </c>
      <c r="H43" s="1" t="s">
        <v>10</v>
      </c>
      <c r="I43" s="19"/>
    </row>
    <row r="44" spans="1:9">
      <c r="A44" s="25">
        <v>45856</v>
      </c>
      <c r="B44" s="1">
        <v>9875</v>
      </c>
      <c r="C44" s="26" t="s">
        <v>43</v>
      </c>
      <c r="D44" s="1">
        <v>452</v>
      </c>
      <c r="E44" s="1">
        <v>452</v>
      </c>
      <c r="H44" s="1" t="s">
        <v>10</v>
      </c>
      <c r="I44" s="19">
        <f>SUM(E44:E50)</f>
        <v>1868</v>
      </c>
    </row>
    <row r="45" spans="1:9">
      <c r="A45" s="25">
        <v>45856</v>
      </c>
      <c r="B45" s="1">
        <v>9845</v>
      </c>
      <c r="C45" s="26" t="s">
        <v>80</v>
      </c>
      <c r="D45" s="1">
        <v>441</v>
      </c>
      <c r="E45" s="1">
        <v>441</v>
      </c>
      <c r="H45" s="1" t="s">
        <v>10</v>
      </c>
      <c r="I45" s="19"/>
    </row>
    <row r="46" spans="1:9">
      <c r="A46" s="25">
        <v>45856</v>
      </c>
      <c r="B46" s="1">
        <v>9623</v>
      </c>
      <c r="C46" s="26" t="s">
        <v>87</v>
      </c>
      <c r="D46" s="1">
        <v>441</v>
      </c>
      <c r="E46" s="1">
        <v>441</v>
      </c>
      <c r="H46" s="1" t="s">
        <v>10</v>
      </c>
      <c r="I46" s="19"/>
    </row>
    <row r="47" spans="1:9">
      <c r="A47" s="25">
        <v>45856</v>
      </c>
      <c r="B47" s="1">
        <v>9908</v>
      </c>
      <c r="C47" s="26" t="s">
        <v>89</v>
      </c>
      <c r="D47" s="1">
        <v>441</v>
      </c>
      <c r="E47" s="1">
        <v>441</v>
      </c>
      <c r="H47" s="1" t="s">
        <v>10</v>
      </c>
      <c r="I47" s="19"/>
    </row>
    <row r="48" spans="1:9">
      <c r="A48" s="25">
        <v>45856</v>
      </c>
      <c r="B48" s="1">
        <v>9909</v>
      </c>
      <c r="C48" s="26" t="s">
        <v>86</v>
      </c>
      <c r="D48" s="1">
        <v>31</v>
      </c>
      <c r="E48" s="1">
        <v>31</v>
      </c>
      <c r="H48" s="1" t="s">
        <v>10</v>
      </c>
      <c r="I48" s="19"/>
    </row>
    <row r="49" spans="1:9">
      <c r="A49" s="25">
        <v>45856</v>
      </c>
      <c r="B49" s="1">
        <v>1845</v>
      </c>
      <c r="C49" s="26" t="s">
        <v>85</v>
      </c>
      <c r="D49" s="1">
        <v>31</v>
      </c>
      <c r="E49" s="1">
        <v>31</v>
      </c>
      <c r="H49" s="1" t="s">
        <v>10</v>
      </c>
      <c r="I49" s="19"/>
    </row>
    <row r="50" spans="1:9">
      <c r="A50" s="25">
        <v>45856</v>
      </c>
      <c r="B50" s="1">
        <v>1908</v>
      </c>
      <c r="C50" s="26" t="s">
        <v>77</v>
      </c>
      <c r="D50" s="1">
        <v>31</v>
      </c>
      <c r="E50" s="1">
        <v>31</v>
      </c>
      <c r="H50" s="1" t="s">
        <v>10</v>
      </c>
      <c r="I50" s="19"/>
    </row>
    <row r="51" spans="1:9">
      <c r="A51" s="25">
        <v>45857</v>
      </c>
      <c r="B51" s="1">
        <v>9627</v>
      </c>
      <c r="C51" s="26" t="s">
        <v>82</v>
      </c>
      <c r="D51" s="1">
        <v>506</v>
      </c>
      <c r="E51" s="1">
        <v>506</v>
      </c>
      <c r="H51" s="1" t="s">
        <v>10</v>
      </c>
      <c r="I51" s="19">
        <f>SUM(E51:E56)</f>
        <v>2859</v>
      </c>
    </row>
    <row r="52" spans="1:9">
      <c r="A52" s="25">
        <v>45857</v>
      </c>
      <c r="B52" s="1">
        <v>9630</v>
      </c>
      <c r="C52" s="26" t="s">
        <v>116</v>
      </c>
      <c r="D52" s="1">
        <v>506</v>
      </c>
      <c r="E52" s="1">
        <v>506</v>
      </c>
      <c r="H52" s="1" t="s">
        <v>10</v>
      </c>
      <c r="I52" s="19"/>
    </row>
    <row r="53" spans="1:9">
      <c r="A53" s="25">
        <v>45857</v>
      </c>
      <c r="B53" s="1">
        <v>9843</v>
      </c>
      <c r="C53" s="26" t="s">
        <v>101</v>
      </c>
      <c r="D53" s="1">
        <v>506</v>
      </c>
      <c r="E53" s="1">
        <v>506</v>
      </c>
      <c r="H53" s="1" t="s">
        <v>10</v>
      </c>
      <c r="I53" s="19"/>
    </row>
    <row r="54" spans="1:9">
      <c r="A54" s="25">
        <v>45857</v>
      </c>
      <c r="B54" s="1">
        <v>9908</v>
      </c>
      <c r="C54" s="26" t="s">
        <v>89</v>
      </c>
      <c r="D54" s="1">
        <v>447</v>
      </c>
      <c r="E54" s="1">
        <v>447</v>
      </c>
      <c r="H54" s="1" t="s">
        <v>10</v>
      </c>
      <c r="I54" s="19"/>
    </row>
    <row r="55" spans="1:9">
      <c r="A55" s="25">
        <v>45857</v>
      </c>
      <c r="B55" s="1">
        <v>1627</v>
      </c>
      <c r="C55" s="26" t="s">
        <v>79</v>
      </c>
      <c r="D55" s="1">
        <v>447</v>
      </c>
      <c r="E55" s="1">
        <v>447</v>
      </c>
      <c r="H55" s="1" t="s">
        <v>10</v>
      </c>
      <c r="I55" s="19"/>
    </row>
    <row r="56" spans="1:9">
      <c r="A56" s="25">
        <v>45857</v>
      </c>
      <c r="B56" s="1">
        <v>9839</v>
      </c>
      <c r="C56" s="26" t="s">
        <v>93</v>
      </c>
      <c r="D56" s="1">
        <v>447</v>
      </c>
      <c r="E56" s="1">
        <v>447</v>
      </c>
      <c r="H56" s="1" t="s">
        <v>10</v>
      </c>
      <c r="I56" s="19"/>
    </row>
    <row r="57" spans="1:9">
      <c r="A57" s="25">
        <v>45858</v>
      </c>
      <c r="B57" s="1">
        <v>9909</v>
      </c>
      <c r="C57" s="26" t="s">
        <v>86</v>
      </c>
      <c r="D57" s="1">
        <v>357</v>
      </c>
      <c r="E57" s="1">
        <v>357</v>
      </c>
      <c r="H57" s="1" t="s">
        <v>10</v>
      </c>
      <c r="I57" s="19">
        <f>SUM(E57:E60)</f>
        <v>1398</v>
      </c>
    </row>
    <row r="58" spans="1:9">
      <c r="A58" s="25">
        <v>45858</v>
      </c>
      <c r="B58" s="1">
        <v>1909</v>
      </c>
      <c r="C58" s="26" t="s">
        <v>83</v>
      </c>
      <c r="D58" s="1">
        <v>357</v>
      </c>
      <c r="E58" s="1">
        <v>357</v>
      </c>
      <c r="H58" s="1" t="s">
        <v>10</v>
      </c>
      <c r="I58" s="19"/>
    </row>
    <row r="59" spans="1:9">
      <c r="A59" s="25">
        <v>45858</v>
      </c>
      <c r="B59" s="1">
        <v>9630</v>
      </c>
      <c r="C59" s="26" t="s">
        <v>116</v>
      </c>
      <c r="D59" s="1">
        <v>342</v>
      </c>
      <c r="E59" s="1">
        <v>342</v>
      </c>
      <c r="H59" s="1" t="s">
        <v>10</v>
      </c>
      <c r="I59" s="19"/>
    </row>
    <row r="60" spans="1:9">
      <c r="A60" s="25">
        <v>45858</v>
      </c>
      <c r="B60" s="1">
        <v>1630</v>
      </c>
      <c r="C60" s="26" t="s">
        <v>120</v>
      </c>
      <c r="D60" s="1">
        <v>342</v>
      </c>
      <c r="E60" s="1">
        <v>342</v>
      </c>
      <c r="H60" s="1" t="s">
        <v>10</v>
      </c>
      <c r="I60" s="19"/>
    </row>
    <row r="61" spans="1:9">
      <c r="A61" s="25">
        <v>45859</v>
      </c>
      <c r="B61" s="1">
        <v>9842</v>
      </c>
      <c r="C61" s="26" t="s">
        <v>118</v>
      </c>
      <c r="D61" s="1">
        <v>360</v>
      </c>
      <c r="E61" s="1">
        <v>360</v>
      </c>
      <c r="H61" s="1" t="s">
        <v>10</v>
      </c>
      <c r="I61" s="19">
        <f>SUM(E61:E65)</f>
        <v>2484</v>
      </c>
    </row>
    <row r="62" spans="1:9">
      <c r="A62" s="25">
        <v>45859</v>
      </c>
      <c r="B62" s="1">
        <v>9632</v>
      </c>
      <c r="C62" s="26" t="s">
        <v>75</v>
      </c>
      <c r="D62" s="1">
        <v>528</v>
      </c>
      <c r="E62" s="1">
        <v>528</v>
      </c>
      <c r="H62" s="1" t="s">
        <v>10</v>
      </c>
      <c r="I62" s="19"/>
    </row>
    <row r="63" spans="1:9">
      <c r="A63" s="25">
        <v>45859</v>
      </c>
      <c r="B63" s="1">
        <v>1632</v>
      </c>
      <c r="C63" s="26" t="s">
        <v>78</v>
      </c>
      <c r="D63" s="1">
        <v>528</v>
      </c>
      <c r="E63" s="1">
        <v>528</v>
      </c>
      <c r="H63" s="1" t="s">
        <v>10</v>
      </c>
      <c r="I63" s="19"/>
    </row>
    <row r="64" spans="1:9">
      <c r="A64" s="25">
        <v>45859</v>
      </c>
      <c r="B64" s="1">
        <v>1908</v>
      </c>
      <c r="C64" s="26" t="s">
        <v>77</v>
      </c>
      <c r="D64" s="1">
        <v>528</v>
      </c>
      <c r="E64" s="1">
        <v>528</v>
      </c>
      <c r="H64" s="1" t="s">
        <v>10</v>
      </c>
      <c r="I64" s="19"/>
    </row>
    <row r="65" spans="1:9">
      <c r="A65" s="25">
        <v>45859</v>
      </c>
      <c r="B65" s="1">
        <v>9838</v>
      </c>
      <c r="C65" s="26" t="s">
        <v>113</v>
      </c>
      <c r="D65" s="1">
        <v>540</v>
      </c>
      <c r="E65" s="1">
        <v>540</v>
      </c>
      <c r="H65" s="1" t="s">
        <v>10</v>
      </c>
      <c r="I65" s="19"/>
    </row>
    <row r="66" spans="1:9">
      <c r="A66" s="25">
        <v>45860</v>
      </c>
      <c r="B66" s="1">
        <v>9631</v>
      </c>
      <c r="C66" s="26" t="s">
        <v>111</v>
      </c>
      <c r="D66" s="1">
        <v>234</v>
      </c>
      <c r="E66" s="1">
        <v>234</v>
      </c>
      <c r="H66" s="1" t="s">
        <v>10</v>
      </c>
      <c r="I66" s="19">
        <f>SUM(E66:E75)</f>
        <v>2817</v>
      </c>
    </row>
    <row r="67" spans="1:9">
      <c r="A67" s="25">
        <v>45860</v>
      </c>
      <c r="B67" s="1">
        <v>9633</v>
      </c>
      <c r="C67" s="26" t="s">
        <v>133</v>
      </c>
      <c r="D67" s="1">
        <v>234</v>
      </c>
      <c r="E67" s="1">
        <v>234</v>
      </c>
      <c r="H67" s="1" t="s">
        <v>10</v>
      </c>
      <c r="I67" s="19"/>
    </row>
    <row r="68" spans="1:9">
      <c r="A68" s="25">
        <v>45860</v>
      </c>
      <c r="B68" s="1">
        <v>9838</v>
      </c>
      <c r="C68" s="26" t="s">
        <v>113</v>
      </c>
      <c r="D68" s="1">
        <v>864</v>
      </c>
      <c r="E68" s="1">
        <v>864</v>
      </c>
      <c r="H68" s="1" t="s">
        <v>10</v>
      </c>
      <c r="I68" s="19"/>
    </row>
    <row r="69" spans="1:9">
      <c r="A69" s="25">
        <v>45860</v>
      </c>
      <c r="B69" s="1">
        <v>9908</v>
      </c>
      <c r="C69" s="26" t="s">
        <v>89</v>
      </c>
      <c r="D69" s="1">
        <v>202</v>
      </c>
      <c r="E69" s="1">
        <v>202</v>
      </c>
      <c r="H69" s="1" t="s">
        <v>10</v>
      </c>
      <c r="I69" s="19"/>
    </row>
    <row r="70" spans="1:9">
      <c r="A70" s="25">
        <v>45860</v>
      </c>
      <c r="B70" s="1">
        <v>9909</v>
      </c>
      <c r="C70" s="26" t="s">
        <v>86</v>
      </c>
      <c r="D70" s="1">
        <v>12</v>
      </c>
      <c r="E70" s="1">
        <v>12</v>
      </c>
      <c r="H70" s="1" t="s">
        <v>10</v>
      </c>
      <c r="I70" s="19"/>
    </row>
    <row r="71" spans="1:9">
      <c r="A71" s="25">
        <v>45860</v>
      </c>
      <c r="B71" s="1">
        <v>9623</v>
      </c>
      <c r="C71" s="26" t="s">
        <v>87</v>
      </c>
      <c r="D71" s="1">
        <v>297</v>
      </c>
      <c r="E71" s="1">
        <v>297</v>
      </c>
      <c r="H71" s="1" t="s">
        <v>10</v>
      </c>
      <c r="I71" s="19"/>
    </row>
    <row r="72" spans="1:9">
      <c r="A72" s="25">
        <v>45860</v>
      </c>
      <c r="B72" s="1">
        <v>9845</v>
      </c>
      <c r="C72" s="26" t="s">
        <v>80</v>
      </c>
      <c r="D72" s="1">
        <v>38</v>
      </c>
      <c r="E72" s="1">
        <v>38</v>
      </c>
      <c r="H72" s="1" t="s">
        <v>10</v>
      </c>
      <c r="I72" s="19"/>
    </row>
    <row r="73" spans="1:9">
      <c r="A73" s="25">
        <v>45860</v>
      </c>
      <c r="B73" s="1">
        <v>9842</v>
      </c>
      <c r="C73" s="26" t="s">
        <v>118</v>
      </c>
      <c r="D73" s="1">
        <v>320</v>
      </c>
      <c r="E73" s="1">
        <v>320</v>
      </c>
      <c r="H73" s="1" t="s">
        <v>10</v>
      </c>
      <c r="I73" s="19"/>
    </row>
    <row r="74" spans="1:9">
      <c r="A74" s="25">
        <v>45860</v>
      </c>
      <c r="B74" s="1">
        <v>1842</v>
      </c>
      <c r="C74" s="26" t="s">
        <v>123</v>
      </c>
      <c r="D74" s="1">
        <v>324</v>
      </c>
      <c r="E74" s="1">
        <v>324</v>
      </c>
      <c r="H74" s="1" t="s">
        <v>10</v>
      </c>
      <c r="I74" s="19"/>
    </row>
    <row r="75" spans="1:9">
      <c r="A75" s="25">
        <v>45860</v>
      </c>
      <c r="B75" s="1">
        <v>9635</v>
      </c>
      <c r="C75" s="26" t="s">
        <v>122</v>
      </c>
      <c r="D75" s="1">
        <v>292</v>
      </c>
      <c r="E75" s="1">
        <v>292</v>
      </c>
      <c r="H75" s="1" t="s">
        <v>10</v>
      </c>
      <c r="I75" s="19"/>
    </row>
    <row r="76" spans="1:9">
      <c r="A76" s="25">
        <v>45861</v>
      </c>
      <c r="B76" s="1">
        <v>9843</v>
      </c>
      <c r="C76" s="26" t="s">
        <v>101</v>
      </c>
      <c r="D76" s="1">
        <v>285</v>
      </c>
      <c r="E76" s="1">
        <v>285</v>
      </c>
      <c r="H76" s="1" t="s">
        <v>10</v>
      </c>
      <c r="I76" s="19">
        <f>SUM(E76:E86)</f>
        <v>1408</v>
      </c>
    </row>
    <row r="77" spans="1:9">
      <c r="A77" s="25">
        <v>45861</v>
      </c>
      <c r="B77" s="1">
        <v>9909</v>
      </c>
      <c r="C77" s="26" t="s">
        <v>86</v>
      </c>
      <c r="D77" s="1">
        <v>255</v>
      </c>
      <c r="E77" s="1">
        <v>255</v>
      </c>
      <c r="H77" s="1" t="s">
        <v>10</v>
      </c>
      <c r="I77" s="19"/>
    </row>
    <row r="78" spans="1:9">
      <c r="A78" s="25">
        <v>45861</v>
      </c>
      <c r="B78" s="1">
        <v>9875</v>
      </c>
      <c r="C78" s="26" t="s">
        <v>43</v>
      </c>
      <c r="D78" s="1">
        <v>192</v>
      </c>
      <c r="E78" s="1">
        <v>192</v>
      </c>
      <c r="H78" s="1" t="s">
        <v>10</v>
      </c>
      <c r="I78" s="19"/>
    </row>
    <row r="79" spans="1:9">
      <c r="A79" s="25">
        <v>45861</v>
      </c>
      <c r="B79" s="1">
        <v>9623</v>
      </c>
      <c r="C79" s="26" t="s">
        <v>87</v>
      </c>
      <c r="D79" s="1">
        <v>2</v>
      </c>
      <c r="E79" s="1">
        <v>2</v>
      </c>
      <c r="H79" s="1" t="s">
        <v>10</v>
      </c>
      <c r="I79" s="19"/>
    </row>
    <row r="80" spans="1:9">
      <c r="A80" s="25">
        <v>45861</v>
      </c>
      <c r="B80" s="1">
        <v>9845</v>
      </c>
      <c r="C80" s="26" t="s">
        <v>80</v>
      </c>
      <c r="D80" s="1">
        <v>2</v>
      </c>
      <c r="E80" s="1">
        <v>2</v>
      </c>
      <c r="H80" s="1" t="s">
        <v>10</v>
      </c>
      <c r="I80" s="19"/>
    </row>
    <row r="81" spans="1:9">
      <c r="A81" s="25">
        <v>45861</v>
      </c>
      <c r="B81" s="1">
        <v>9838</v>
      </c>
      <c r="C81" s="26" t="s">
        <v>113</v>
      </c>
      <c r="D81" s="1">
        <v>54</v>
      </c>
      <c r="E81" s="1">
        <v>54</v>
      </c>
      <c r="H81" s="1" t="s">
        <v>10</v>
      </c>
      <c r="I81" s="19"/>
    </row>
    <row r="82" spans="1:9">
      <c r="A82" s="25">
        <v>45861</v>
      </c>
      <c r="B82" s="1">
        <v>9627</v>
      </c>
      <c r="C82" s="26" t="s">
        <v>82</v>
      </c>
      <c r="D82" s="1">
        <v>2</v>
      </c>
      <c r="E82" s="1">
        <v>2</v>
      </c>
      <c r="H82" s="1" t="s">
        <v>10</v>
      </c>
      <c r="I82" s="19"/>
    </row>
    <row r="83" spans="1:9">
      <c r="A83" s="25">
        <v>45861</v>
      </c>
      <c r="B83" s="1">
        <v>9625</v>
      </c>
      <c r="C83" s="26" t="s">
        <v>81</v>
      </c>
      <c r="D83" s="1">
        <v>2</v>
      </c>
      <c r="E83" s="1">
        <v>2</v>
      </c>
      <c r="H83" s="1" t="s">
        <v>10</v>
      </c>
      <c r="I83" s="19"/>
    </row>
    <row r="84" spans="1:9">
      <c r="A84" s="25">
        <v>45861</v>
      </c>
      <c r="B84" s="1">
        <v>9835</v>
      </c>
      <c r="C84" s="26" t="s">
        <v>105</v>
      </c>
      <c r="D84" s="1">
        <v>114</v>
      </c>
      <c r="E84" s="1">
        <v>114</v>
      </c>
      <c r="H84" s="1" t="s">
        <v>10</v>
      </c>
      <c r="I84" s="19"/>
    </row>
    <row r="85" spans="1:9">
      <c r="A85" s="25">
        <v>45861</v>
      </c>
      <c r="B85" s="1">
        <v>9842</v>
      </c>
      <c r="C85" s="26" t="s">
        <v>118</v>
      </c>
      <c r="D85" s="1">
        <v>300</v>
      </c>
      <c r="E85" s="1">
        <v>300</v>
      </c>
      <c r="H85" s="1" t="s">
        <v>10</v>
      </c>
      <c r="I85" s="19"/>
    </row>
    <row r="86" spans="1:9">
      <c r="A86" s="25">
        <v>45861</v>
      </c>
      <c r="B86" s="1">
        <v>1632</v>
      </c>
      <c r="C86" s="26" t="s">
        <v>78</v>
      </c>
      <c r="D86" s="1">
        <v>200</v>
      </c>
      <c r="E86" s="1">
        <v>200</v>
      </c>
      <c r="H86" s="1" t="s">
        <v>10</v>
      </c>
      <c r="I86" s="19"/>
    </row>
    <row r="87" spans="1:9">
      <c r="A87" s="25">
        <v>45862</v>
      </c>
      <c r="B87" s="1">
        <v>9635</v>
      </c>
      <c r="C87" s="26" t="s">
        <v>122</v>
      </c>
      <c r="D87" s="1">
        <v>552</v>
      </c>
      <c r="E87" s="1">
        <v>552</v>
      </c>
      <c r="H87" s="1" t="s">
        <v>10</v>
      </c>
      <c r="I87" s="19">
        <f>SUM(E87:E92)</f>
        <v>1499</v>
      </c>
    </row>
    <row r="88" spans="1:9">
      <c r="A88" s="25">
        <v>45862</v>
      </c>
      <c r="B88" s="1">
        <v>9809</v>
      </c>
      <c r="C88" s="26" t="s">
        <v>128</v>
      </c>
      <c r="D88" s="1">
        <v>81</v>
      </c>
      <c r="E88" s="1">
        <v>81</v>
      </c>
      <c r="H88" s="1" t="s">
        <v>10</v>
      </c>
      <c r="I88" s="19"/>
    </row>
    <row r="89" spans="1:9">
      <c r="A89" s="25">
        <v>45862</v>
      </c>
      <c r="B89" s="1">
        <v>9845</v>
      </c>
      <c r="C89" s="26" t="s">
        <v>80</v>
      </c>
      <c r="D89" s="1">
        <v>258</v>
      </c>
      <c r="E89" s="1">
        <v>258</v>
      </c>
      <c r="H89" s="1" t="s">
        <v>10</v>
      </c>
      <c r="I89" s="19"/>
    </row>
    <row r="90" spans="1:9">
      <c r="A90" s="25">
        <v>45862</v>
      </c>
      <c r="B90" s="1">
        <v>9630</v>
      </c>
      <c r="C90" s="26" t="s">
        <v>116</v>
      </c>
      <c r="D90" s="1">
        <v>332</v>
      </c>
      <c r="E90" s="1">
        <v>332</v>
      </c>
      <c r="H90" s="1" t="s">
        <v>10</v>
      </c>
      <c r="I90" s="19"/>
    </row>
    <row r="91" spans="1:9">
      <c r="A91" s="25">
        <v>45862</v>
      </c>
      <c r="B91" s="1">
        <v>9623</v>
      </c>
      <c r="C91" s="26" t="s">
        <v>87</v>
      </c>
      <c r="D91" s="1">
        <v>236</v>
      </c>
      <c r="E91" s="1">
        <v>236</v>
      </c>
      <c r="H91" s="1" t="s">
        <v>10</v>
      </c>
      <c r="I91" s="19"/>
    </row>
    <row r="92" spans="1:9">
      <c r="A92" s="25">
        <v>45862</v>
      </c>
      <c r="B92" s="1">
        <v>9839</v>
      </c>
      <c r="C92" s="26" t="s">
        <v>93</v>
      </c>
      <c r="D92" s="1">
        <v>40</v>
      </c>
      <c r="E92" s="1">
        <v>40</v>
      </c>
      <c r="H92" s="1" t="s">
        <v>10</v>
      </c>
      <c r="I92" s="19"/>
    </row>
    <row r="93" spans="1:9">
      <c r="A93" s="25">
        <v>45863</v>
      </c>
      <c r="B93" s="1">
        <v>9838</v>
      </c>
      <c r="C93" s="26" t="s">
        <v>113</v>
      </c>
      <c r="D93" s="1">
        <v>100</v>
      </c>
      <c r="E93" s="1">
        <v>100</v>
      </c>
      <c r="H93" s="1" t="s">
        <v>10</v>
      </c>
      <c r="I93" s="19">
        <f>SUM(E93:E106)</f>
        <v>2388</v>
      </c>
    </row>
    <row r="94" spans="1:9">
      <c r="A94" s="25">
        <v>45863</v>
      </c>
      <c r="B94" s="1">
        <v>9835</v>
      </c>
      <c r="C94" s="26" t="s">
        <v>105</v>
      </c>
      <c r="D94" s="1">
        <v>76</v>
      </c>
      <c r="E94" s="1">
        <v>76</v>
      </c>
      <c r="H94" s="1" t="s">
        <v>10</v>
      </c>
      <c r="I94" s="19"/>
    </row>
    <row r="95" spans="1:9">
      <c r="A95" s="25">
        <v>45863</v>
      </c>
      <c r="B95" s="1">
        <v>9837</v>
      </c>
      <c r="C95" s="26" t="s">
        <v>130</v>
      </c>
      <c r="D95" s="1">
        <v>50</v>
      </c>
      <c r="E95" s="1">
        <v>50</v>
      </c>
      <c r="H95" s="1" t="s">
        <v>10</v>
      </c>
      <c r="I95" s="19"/>
    </row>
    <row r="96" spans="1:9">
      <c r="A96" s="25">
        <v>45863</v>
      </c>
      <c r="B96" s="1">
        <v>9635</v>
      </c>
      <c r="C96" s="26" t="s">
        <v>122</v>
      </c>
      <c r="D96" s="1">
        <v>540</v>
      </c>
      <c r="E96" s="1">
        <v>540</v>
      </c>
      <c r="H96" s="1" t="s">
        <v>10</v>
      </c>
      <c r="I96" s="19"/>
    </row>
    <row r="97" spans="1:9">
      <c r="A97" s="25">
        <v>45863</v>
      </c>
      <c r="B97" s="1">
        <v>1909</v>
      </c>
      <c r="C97" s="26" t="s">
        <v>83</v>
      </c>
      <c r="D97" s="1">
        <v>312</v>
      </c>
      <c r="E97" s="1">
        <v>312</v>
      </c>
      <c r="H97" s="1" t="s">
        <v>10</v>
      </c>
      <c r="I97" s="19"/>
    </row>
    <row r="98" spans="1:9">
      <c r="A98" s="25">
        <v>45863</v>
      </c>
      <c r="B98" s="1">
        <v>9909</v>
      </c>
      <c r="C98" s="26" t="s">
        <v>86</v>
      </c>
      <c r="D98" s="1">
        <v>312</v>
      </c>
      <c r="E98" s="1">
        <v>312</v>
      </c>
      <c r="H98" s="1" t="s">
        <v>10</v>
      </c>
      <c r="I98" s="19"/>
    </row>
    <row r="99" spans="1:9">
      <c r="A99" s="25">
        <v>45863</v>
      </c>
      <c r="B99" s="1">
        <v>1908</v>
      </c>
      <c r="C99" s="26" t="s">
        <v>77</v>
      </c>
      <c r="D99" s="1">
        <v>84</v>
      </c>
      <c r="E99" s="1">
        <v>84</v>
      </c>
      <c r="H99" s="1" t="s">
        <v>10</v>
      </c>
      <c r="I99" s="19"/>
    </row>
    <row r="100" spans="1:9">
      <c r="A100" s="25">
        <v>45863</v>
      </c>
      <c r="B100" s="1">
        <v>9908</v>
      </c>
      <c r="C100" s="26" t="s">
        <v>89</v>
      </c>
      <c r="D100" s="1">
        <v>84</v>
      </c>
      <c r="E100" s="1">
        <v>84</v>
      </c>
      <c r="H100" s="1" t="s">
        <v>10</v>
      </c>
      <c r="I100" s="19"/>
    </row>
    <row r="101" spans="1:9">
      <c r="A101" s="25">
        <v>45863</v>
      </c>
      <c r="B101" s="1">
        <v>1845</v>
      </c>
      <c r="C101" s="26" t="s">
        <v>85</v>
      </c>
      <c r="D101" s="1">
        <v>270</v>
      </c>
      <c r="E101" s="1">
        <v>270</v>
      </c>
      <c r="H101" s="1" t="s">
        <v>10</v>
      </c>
      <c r="I101" s="19"/>
    </row>
    <row r="102" spans="1:9">
      <c r="A102" s="25">
        <v>45863</v>
      </c>
      <c r="B102" s="1">
        <v>1630</v>
      </c>
      <c r="C102" s="26" t="s">
        <v>120</v>
      </c>
      <c r="D102" s="1">
        <v>270</v>
      </c>
      <c r="E102" s="1">
        <v>270</v>
      </c>
      <c r="H102" s="1" t="s">
        <v>10</v>
      </c>
      <c r="I102" s="19"/>
    </row>
    <row r="103" spans="1:9">
      <c r="A103" s="25">
        <v>45863</v>
      </c>
      <c r="B103" s="1">
        <v>1627</v>
      </c>
      <c r="C103" s="26" t="s">
        <v>79</v>
      </c>
      <c r="D103" s="1">
        <v>270</v>
      </c>
      <c r="E103" s="1">
        <v>270</v>
      </c>
      <c r="H103" s="1" t="s">
        <v>10</v>
      </c>
      <c r="I103" s="19"/>
    </row>
    <row r="104" spans="1:9">
      <c r="A104" s="25">
        <v>45863</v>
      </c>
      <c r="B104" s="1">
        <v>9838</v>
      </c>
      <c r="C104" s="26" t="s">
        <v>113</v>
      </c>
      <c r="D104" s="1">
        <v>8</v>
      </c>
      <c r="E104" s="1">
        <v>8</v>
      </c>
      <c r="H104" s="1" t="s">
        <v>10</v>
      </c>
      <c r="I104" s="19"/>
    </row>
    <row r="105" spans="1:9">
      <c r="A105" s="25">
        <v>45863</v>
      </c>
      <c r="B105" s="1">
        <v>9623</v>
      </c>
      <c r="C105" s="26" t="s">
        <v>87</v>
      </c>
      <c r="D105" s="1">
        <v>4</v>
      </c>
      <c r="E105" s="1">
        <v>4</v>
      </c>
      <c r="H105" s="1" t="s">
        <v>10</v>
      </c>
      <c r="I105" s="19"/>
    </row>
    <row r="106" spans="1:9">
      <c r="A106" s="25">
        <v>45863</v>
      </c>
      <c r="B106" s="1">
        <v>9875</v>
      </c>
      <c r="C106" s="26" t="s">
        <v>43</v>
      </c>
      <c r="D106" s="1">
        <v>8</v>
      </c>
      <c r="E106" s="1">
        <v>8</v>
      </c>
      <c r="H106" s="1" t="s">
        <v>10</v>
      </c>
      <c r="I106" s="19"/>
    </row>
    <row r="107" spans="1:9">
      <c r="A107" s="25">
        <v>45864</v>
      </c>
      <c r="B107" s="1">
        <v>9635</v>
      </c>
      <c r="C107" s="26" t="s">
        <v>122</v>
      </c>
      <c r="D107" s="1">
        <v>308</v>
      </c>
      <c r="E107" s="1">
        <v>308</v>
      </c>
      <c r="H107" s="1" t="s">
        <v>10</v>
      </c>
      <c r="I107" s="19">
        <f>SUM(E107:E117)</f>
        <v>1973</v>
      </c>
    </row>
    <row r="108" spans="1:9">
      <c r="A108" s="25">
        <v>45864</v>
      </c>
      <c r="B108" s="1">
        <v>9632</v>
      </c>
      <c r="C108" s="26" t="s">
        <v>75</v>
      </c>
      <c r="D108" s="1">
        <v>308</v>
      </c>
      <c r="E108" s="1">
        <v>308</v>
      </c>
      <c r="H108" s="1" t="s">
        <v>10</v>
      </c>
      <c r="I108" s="19"/>
    </row>
    <row r="109" spans="1:9">
      <c r="A109" s="25">
        <v>45864</v>
      </c>
      <c r="B109" s="1">
        <v>9838</v>
      </c>
      <c r="C109" s="26" t="s">
        <v>113</v>
      </c>
      <c r="D109" s="1">
        <v>152</v>
      </c>
      <c r="E109" s="1">
        <v>152</v>
      </c>
      <c r="H109" s="1" t="s">
        <v>10</v>
      </c>
      <c r="I109" s="19"/>
    </row>
    <row r="110" spans="1:9">
      <c r="A110" s="25">
        <v>45864</v>
      </c>
      <c r="B110" s="1">
        <v>9837</v>
      </c>
      <c r="C110" s="26" t="s">
        <v>130</v>
      </c>
      <c r="D110" s="1">
        <v>40</v>
      </c>
      <c r="E110" s="1">
        <v>40</v>
      </c>
      <c r="H110" s="1" t="s">
        <v>10</v>
      </c>
      <c r="I110" s="19"/>
    </row>
    <row r="111" spans="1:9">
      <c r="A111" s="25">
        <v>45864</v>
      </c>
      <c r="B111" s="1">
        <v>9635</v>
      </c>
      <c r="C111" s="26" t="s">
        <v>122</v>
      </c>
      <c r="D111" s="1">
        <v>172</v>
      </c>
      <c r="E111" s="1">
        <v>172</v>
      </c>
      <c r="H111" s="1" t="s">
        <v>10</v>
      </c>
      <c r="I111" s="19"/>
    </row>
    <row r="112" spans="1:9">
      <c r="A112" s="25">
        <v>45864</v>
      </c>
      <c r="B112" s="1">
        <v>9632</v>
      </c>
      <c r="C112" s="26" t="s">
        <v>75</v>
      </c>
      <c r="D112" s="1">
        <v>258</v>
      </c>
      <c r="E112" s="1">
        <v>258</v>
      </c>
      <c r="H112" s="1" t="s">
        <v>10</v>
      </c>
      <c r="I112" s="19"/>
    </row>
    <row r="113" spans="1:9">
      <c r="A113" s="25">
        <v>45864</v>
      </c>
      <c r="B113" s="1">
        <v>9875</v>
      </c>
      <c r="C113" s="26" t="s">
        <v>43</v>
      </c>
      <c r="D113" s="1">
        <v>124</v>
      </c>
      <c r="E113" s="1">
        <v>124</v>
      </c>
      <c r="H113" s="1" t="s">
        <v>10</v>
      </c>
      <c r="I113" s="19"/>
    </row>
    <row r="114" spans="1:9">
      <c r="A114" s="25">
        <v>45864</v>
      </c>
      <c r="B114" s="1">
        <v>9845</v>
      </c>
      <c r="C114" s="26" t="s">
        <v>80</v>
      </c>
      <c r="D114" s="1">
        <v>9</v>
      </c>
      <c r="E114" s="1">
        <v>9</v>
      </c>
      <c r="H114" s="1" t="s">
        <v>10</v>
      </c>
      <c r="I114" s="19"/>
    </row>
    <row r="115" spans="1:9">
      <c r="A115" s="25">
        <v>45864</v>
      </c>
      <c r="B115" s="1">
        <v>9909</v>
      </c>
      <c r="C115" s="26" t="s">
        <v>86</v>
      </c>
      <c r="D115" s="1">
        <v>6</v>
      </c>
      <c r="E115" s="1">
        <v>6</v>
      </c>
      <c r="H115" s="1" t="s">
        <v>10</v>
      </c>
      <c r="I115" s="19"/>
    </row>
    <row r="116" spans="1:9">
      <c r="A116" s="25">
        <v>45864</v>
      </c>
      <c r="B116" s="1">
        <v>9636</v>
      </c>
      <c r="C116" s="26" t="s">
        <v>112</v>
      </c>
      <c r="D116" s="1">
        <v>298</v>
      </c>
      <c r="E116" s="1">
        <v>298</v>
      </c>
      <c r="H116" s="1" t="s">
        <v>10</v>
      </c>
      <c r="I116" s="19"/>
    </row>
    <row r="117" spans="1:9">
      <c r="A117" s="25">
        <v>45864</v>
      </c>
      <c r="B117" s="1">
        <v>9637</v>
      </c>
      <c r="C117" s="26" t="s">
        <v>115</v>
      </c>
      <c r="D117" s="1">
        <v>298</v>
      </c>
      <c r="E117" s="1">
        <v>298</v>
      </c>
      <c r="H117" s="1" t="s">
        <v>10</v>
      </c>
      <c r="I117" s="19"/>
    </row>
    <row r="118" spans="1:9">
      <c r="A118" s="25">
        <v>45866</v>
      </c>
      <c r="B118" s="1">
        <v>9838</v>
      </c>
      <c r="C118" s="26" t="s">
        <v>113</v>
      </c>
      <c r="D118" s="1">
        <v>348</v>
      </c>
      <c r="E118" s="1">
        <v>348</v>
      </c>
      <c r="H118" s="1" t="s">
        <v>10</v>
      </c>
      <c r="I118" s="19">
        <f>SUM(E118:E125)</f>
        <v>2206</v>
      </c>
    </row>
    <row r="119" spans="1:9">
      <c r="A119" s="25">
        <v>45866</v>
      </c>
      <c r="B119" s="1">
        <v>9845</v>
      </c>
      <c r="C119" s="26" t="s">
        <v>80</v>
      </c>
      <c r="D119" s="1">
        <v>308</v>
      </c>
      <c r="E119" s="1">
        <v>308</v>
      </c>
      <c r="H119" s="1" t="s">
        <v>10</v>
      </c>
      <c r="I119" s="19"/>
    </row>
    <row r="120" spans="1:9">
      <c r="A120" s="25">
        <v>45866</v>
      </c>
      <c r="B120" s="1">
        <v>9623</v>
      </c>
      <c r="C120" s="26" t="s">
        <v>87</v>
      </c>
      <c r="D120" s="1">
        <v>260</v>
      </c>
      <c r="E120" s="1">
        <v>260</v>
      </c>
      <c r="H120" s="1" t="s">
        <v>10</v>
      </c>
      <c r="I120" s="19"/>
    </row>
    <row r="121" spans="1:9">
      <c r="A121" s="25">
        <v>45866</v>
      </c>
      <c r="B121" s="1">
        <v>9632</v>
      </c>
      <c r="C121" s="26" t="s">
        <v>75</v>
      </c>
      <c r="D121" s="1">
        <v>416</v>
      </c>
      <c r="E121" s="1">
        <v>416</v>
      </c>
      <c r="H121" s="1" t="s">
        <v>10</v>
      </c>
      <c r="I121" s="19"/>
    </row>
    <row r="122" spans="1:9">
      <c r="A122" s="25">
        <v>45866</v>
      </c>
      <c r="B122" s="1">
        <v>9842</v>
      </c>
      <c r="C122" s="26" t="s">
        <v>118</v>
      </c>
      <c r="D122" s="1">
        <v>328</v>
      </c>
      <c r="E122" s="1">
        <v>328</v>
      </c>
      <c r="H122" s="1" t="s">
        <v>10</v>
      </c>
      <c r="I122" s="19"/>
    </row>
    <row r="123" spans="1:9">
      <c r="A123" s="25">
        <v>45866</v>
      </c>
      <c r="B123" s="1">
        <v>9632</v>
      </c>
      <c r="C123" s="26" t="s">
        <v>75</v>
      </c>
      <c r="D123" s="1">
        <v>30</v>
      </c>
      <c r="E123" s="1">
        <v>30</v>
      </c>
      <c r="H123" s="1" t="s">
        <v>10</v>
      </c>
      <c r="I123" s="19"/>
    </row>
    <row r="124" spans="1:9">
      <c r="A124" s="25">
        <v>45866</v>
      </c>
      <c r="B124" s="1">
        <v>9623</v>
      </c>
      <c r="C124" s="26" t="s">
        <v>87</v>
      </c>
      <c r="D124" s="1">
        <v>60</v>
      </c>
      <c r="E124" s="1">
        <v>60</v>
      </c>
      <c r="H124" s="1" t="s">
        <v>10</v>
      </c>
      <c r="I124" s="19"/>
    </row>
    <row r="125" spans="1:9">
      <c r="A125" s="25">
        <v>45866</v>
      </c>
      <c r="B125" s="1">
        <v>9631</v>
      </c>
      <c r="C125" s="26" t="s">
        <v>111</v>
      </c>
      <c r="D125" s="1">
        <v>456</v>
      </c>
      <c r="E125" s="1">
        <v>456</v>
      </c>
      <c r="H125" s="1" t="s">
        <v>10</v>
      </c>
      <c r="I125" s="19"/>
    </row>
    <row r="126" spans="1:9">
      <c r="A126" s="25">
        <v>45867</v>
      </c>
      <c r="B126" s="1">
        <v>9845</v>
      </c>
      <c r="C126" s="26" t="s">
        <v>80</v>
      </c>
      <c r="D126" s="1">
        <v>296</v>
      </c>
      <c r="E126" s="1">
        <v>296</v>
      </c>
      <c r="H126" s="1" t="s">
        <v>10</v>
      </c>
      <c r="I126" s="19">
        <f>SUM(E126:E135)</f>
        <v>2332</v>
      </c>
    </row>
    <row r="127" spans="1:9">
      <c r="A127" s="25">
        <v>45867</v>
      </c>
      <c r="B127" s="1">
        <v>9908</v>
      </c>
      <c r="C127" s="26" t="s">
        <v>89</v>
      </c>
      <c r="D127" s="1">
        <v>296</v>
      </c>
      <c r="E127" s="1">
        <v>296</v>
      </c>
      <c r="H127" s="1" t="s">
        <v>10</v>
      </c>
      <c r="I127" s="19"/>
    </row>
    <row r="128" spans="1:9">
      <c r="A128" s="25">
        <v>45867</v>
      </c>
      <c r="B128" s="1">
        <v>9909</v>
      </c>
      <c r="C128" s="26" t="s">
        <v>86</v>
      </c>
      <c r="D128" s="1">
        <v>276</v>
      </c>
      <c r="E128" s="1">
        <v>276</v>
      </c>
      <c r="H128" s="1" t="s">
        <v>10</v>
      </c>
      <c r="I128" s="19"/>
    </row>
    <row r="129" spans="1:9">
      <c r="A129" s="25">
        <v>45867</v>
      </c>
      <c r="B129" s="1">
        <v>9630</v>
      </c>
      <c r="C129" s="26" t="s">
        <v>116</v>
      </c>
      <c r="D129" s="1">
        <v>214</v>
      </c>
      <c r="E129" s="1">
        <v>214</v>
      </c>
      <c r="H129" s="1" t="s">
        <v>10</v>
      </c>
      <c r="I129" s="19"/>
    </row>
    <row r="130" spans="1:9">
      <c r="A130" s="25">
        <v>45867</v>
      </c>
      <c r="B130" s="1">
        <v>9843</v>
      </c>
      <c r="C130" s="26" t="s">
        <v>101</v>
      </c>
      <c r="D130" s="1">
        <v>214</v>
      </c>
      <c r="E130" s="1">
        <v>214</v>
      </c>
      <c r="H130" s="1" t="s">
        <v>10</v>
      </c>
      <c r="I130" s="19"/>
    </row>
    <row r="131" spans="1:9">
      <c r="A131" s="25">
        <v>45867</v>
      </c>
      <c r="B131" s="1">
        <v>9839</v>
      </c>
      <c r="C131" s="26" t="s">
        <v>93</v>
      </c>
      <c r="D131" s="1">
        <v>172</v>
      </c>
      <c r="E131" s="1">
        <v>172</v>
      </c>
      <c r="H131" s="1" t="s">
        <v>10</v>
      </c>
      <c r="I131" s="19"/>
    </row>
    <row r="132" spans="1:9">
      <c r="A132" s="25">
        <v>45867</v>
      </c>
      <c r="B132" s="1">
        <v>9636</v>
      </c>
      <c r="C132" s="26" t="s">
        <v>112</v>
      </c>
      <c r="D132" s="1">
        <v>258</v>
      </c>
      <c r="E132" s="1">
        <v>258</v>
      </c>
      <c r="H132" s="1" t="s">
        <v>10</v>
      </c>
      <c r="I132" s="19"/>
    </row>
    <row r="133" spans="1:9">
      <c r="A133" s="25">
        <v>45867</v>
      </c>
      <c r="B133" s="1">
        <v>9637</v>
      </c>
      <c r="C133" s="26" t="s">
        <v>115</v>
      </c>
      <c r="D133" s="1">
        <v>258</v>
      </c>
      <c r="E133" s="1">
        <v>258</v>
      </c>
      <c r="H133" s="1" t="s">
        <v>10</v>
      </c>
      <c r="I133" s="19"/>
    </row>
    <row r="134" spans="1:9">
      <c r="A134" s="25">
        <v>45867</v>
      </c>
      <c r="B134" s="1">
        <v>9638</v>
      </c>
      <c r="C134" s="26" t="s">
        <v>114</v>
      </c>
      <c r="D134" s="1">
        <v>258</v>
      </c>
      <c r="E134" s="1">
        <v>258</v>
      </c>
      <c r="H134" s="1" t="s">
        <v>10</v>
      </c>
      <c r="I134" s="19"/>
    </row>
    <row r="135" spans="1:9">
      <c r="A135" s="25">
        <v>45867</v>
      </c>
      <c r="B135" s="1">
        <v>9631</v>
      </c>
      <c r="C135" s="26" t="s">
        <v>111</v>
      </c>
      <c r="D135" s="1">
        <v>90</v>
      </c>
      <c r="E135" s="1">
        <v>90</v>
      </c>
      <c r="H135" s="1" t="s">
        <v>10</v>
      </c>
      <c r="I135" s="19"/>
    </row>
    <row r="136" spans="1:9">
      <c r="A136" s="25">
        <v>45868</v>
      </c>
      <c r="B136" s="1">
        <v>9631</v>
      </c>
      <c r="C136" s="26" t="s">
        <v>111</v>
      </c>
      <c r="D136" s="1">
        <v>602</v>
      </c>
      <c r="E136" s="1">
        <v>602</v>
      </c>
      <c r="H136" s="1" t="s">
        <v>10</v>
      </c>
      <c r="I136" s="19">
        <f>SUM(E136:E147)</f>
        <v>1559</v>
      </c>
    </row>
    <row r="137" spans="1:9">
      <c r="A137" s="25">
        <v>45868</v>
      </c>
      <c r="B137" s="1">
        <v>9623</v>
      </c>
      <c r="C137" s="26" t="s">
        <v>87</v>
      </c>
      <c r="D137" s="1">
        <v>14</v>
      </c>
      <c r="E137" s="1">
        <v>14</v>
      </c>
      <c r="H137" s="1" t="s">
        <v>10</v>
      </c>
      <c r="I137" s="19"/>
    </row>
    <row r="138" spans="1:9">
      <c r="A138" s="25">
        <v>45868</v>
      </c>
      <c r="B138" s="1">
        <v>9909</v>
      </c>
      <c r="C138" s="26" t="s">
        <v>86</v>
      </c>
      <c r="D138" s="1">
        <v>14</v>
      </c>
      <c r="E138" s="1">
        <v>14</v>
      </c>
      <c r="H138" s="1" t="s">
        <v>10</v>
      </c>
      <c r="I138" s="19"/>
    </row>
    <row r="139" spans="1:9">
      <c r="A139" s="25">
        <v>45868</v>
      </c>
      <c r="B139" s="1">
        <v>9625</v>
      </c>
      <c r="C139" s="26" t="s">
        <v>81</v>
      </c>
      <c r="D139" s="1">
        <v>150</v>
      </c>
      <c r="E139" s="1">
        <v>150</v>
      </c>
      <c r="H139" s="1" t="s">
        <v>10</v>
      </c>
      <c r="I139" s="19"/>
    </row>
    <row r="140" spans="1:9">
      <c r="A140" s="25">
        <v>45868</v>
      </c>
      <c r="B140" s="1">
        <v>9627</v>
      </c>
      <c r="C140" s="26" t="s">
        <v>82</v>
      </c>
      <c r="D140" s="1">
        <v>150</v>
      </c>
      <c r="E140" s="1">
        <v>150</v>
      </c>
      <c r="H140" s="1" t="s">
        <v>10</v>
      </c>
      <c r="I140" s="19"/>
    </row>
    <row r="141" spans="1:9">
      <c r="A141" s="25">
        <v>45868</v>
      </c>
      <c r="B141" s="1">
        <v>9842</v>
      </c>
      <c r="C141" s="26" t="s">
        <v>118</v>
      </c>
      <c r="D141" s="1">
        <v>102</v>
      </c>
      <c r="E141" s="1">
        <v>102</v>
      </c>
      <c r="H141" s="1" t="s">
        <v>10</v>
      </c>
      <c r="I141" s="19"/>
    </row>
    <row r="142" spans="1:9">
      <c r="A142" s="25">
        <v>45868</v>
      </c>
      <c r="B142" s="1">
        <v>9839</v>
      </c>
      <c r="C142" s="26" t="s">
        <v>93</v>
      </c>
      <c r="D142" s="1">
        <v>288</v>
      </c>
      <c r="E142" s="1">
        <v>288</v>
      </c>
      <c r="H142" s="1" t="s">
        <v>10</v>
      </c>
      <c r="I142" s="19"/>
    </row>
    <row r="143" spans="1:9">
      <c r="A143" s="25">
        <v>45868</v>
      </c>
      <c r="B143" s="1">
        <v>9845</v>
      </c>
      <c r="C143" s="26" t="s">
        <v>80</v>
      </c>
      <c r="D143" s="1">
        <v>137</v>
      </c>
      <c r="E143" s="1">
        <v>137</v>
      </c>
      <c r="H143" s="1" t="s">
        <v>10</v>
      </c>
      <c r="I143" s="19"/>
    </row>
    <row r="144" spans="1:9">
      <c r="A144" s="25">
        <v>45868</v>
      </c>
      <c r="B144" s="1">
        <v>9636</v>
      </c>
      <c r="C144" s="26" t="s">
        <v>112</v>
      </c>
      <c r="D144" s="1">
        <v>14</v>
      </c>
      <c r="E144" s="1">
        <v>14</v>
      </c>
      <c r="H144" s="1" t="s">
        <v>10</v>
      </c>
      <c r="I144" s="19"/>
    </row>
    <row r="145" spans="1:10">
      <c r="A145" s="25">
        <v>45868</v>
      </c>
      <c r="B145" s="1">
        <v>9835</v>
      </c>
      <c r="C145" s="26" t="s">
        <v>105</v>
      </c>
      <c r="D145" s="1">
        <v>60</v>
      </c>
      <c r="E145" s="1">
        <v>60</v>
      </c>
      <c r="H145" s="1" t="s">
        <v>10</v>
      </c>
      <c r="I145" s="19"/>
    </row>
    <row r="146" spans="1:10">
      <c r="A146" s="25">
        <v>45868</v>
      </c>
      <c r="B146" s="1">
        <v>9845</v>
      </c>
      <c r="C146" s="26" t="s">
        <v>80</v>
      </c>
      <c r="D146" s="1">
        <v>16</v>
      </c>
      <c r="E146" s="1">
        <v>16</v>
      </c>
      <c r="H146" s="1" t="s">
        <v>10</v>
      </c>
      <c r="I146" s="19"/>
    </row>
    <row r="147" spans="1:10">
      <c r="A147" s="25">
        <v>45868</v>
      </c>
      <c r="B147" s="1">
        <v>9636</v>
      </c>
      <c r="C147" s="26" t="s">
        <v>112</v>
      </c>
      <c r="D147" s="1">
        <v>12</v>
      </c>
      <c r="E147" s="1">
        <v>12</v>
      </c>
      <c r="H147" s="1" t="s">
        <v>10</v>
      </c>
      <c r="I147" s="19"/>
    </row>
    <row r="148" spans="1:10">
      <c r="A148" s="25">
        <v>45869</v>
      </c>
      <c r="B148" s="1">
        <v>9631</v>
      </c>
      <c r="C148" s="26" t="s">
        <v>111</v>
      </c>
      <c r="D148" s="1">
        <v>540</v>
      </c>
      <c r="E148" s="1">
        <v>540</v>
      </c>
      <c r="H148" s="1" t="s">
        <v>10</v>
      </c>
      <c r="I148" s="19">
        <f>SUM(E148:E152)</f>
        <v>1827</v>
      </c>
    </row>
    <row r="149" spans="1:10">
      <c r="A149" s="25">
        <v>45869</v>
      </c>
      <c r="B149" s="1">
        <v>9636</v>
      </c>
      <c r="C149" s="26" t="s">
        <v>112</v>
      </c>
      <c r="D149" s="1">
        <v>456</v>
      </c>
      <c r="E149" s="1">
        <v>456</v>
      </c>
      <c r="H149" s="1" t="s">
        <v>10</v>
      </c>
      <c r="I149" s="19"/>
    </row>
    <row r="150" spans="1:10">
      <c r="A150" s="25">
        <v>45869</v>
      </c>
      <c r="B150" s="1">
        <v>9839</v>
      </c>
      <c r="C150" s="26" t="s">
        <v>93</v>
      </c>
      <c r="D150" s="1">
        <v>456</v>
      </c>
      <c r="E150" s="1">
        <v>456</v>
      </c>
      <c r="H150" s="1" t="s">
        <v>10</v>
      </c>
      <c r="I150" s="19"/>
    </row>
    <row r="151" spans="1:10">
      <c r="A151" s="25">
        <v>45869</v>
      </c>
      <c r="B151" s="1">
        <v>9632</v>
      </c>
      <c r="C151" s="26" t="s">
        <v>75</v>
      </c>
      <c r="D151" s="1">
        <v>264</v>
      </c>
      <c r="E151" s="1">
        <v>264</v>
      </c>
      <c r="H151" s="1" t="s">
        <v>10</v>
      </c>
      <c r="I151" s="19"/>
    </row>
    <row r="152" spans="1:10">
      <c r="A152" s="25">
        <v>45869</v>
      </c>
      <c r="B152" s="1">
        <v>9637</v>
      </c>
      <c r="C152" s="26" t="s">
        <v>115</v>
      </c>
      <c r="D152" s="1">
        <v>111</v>
      </c>
      <c r="E152" s="1">
        <v>111</v>
      </c>
      <c r="H152" s="1" t="s">
        <v>10</v>
      </c>
      <c r="I152" s="19"/>
    </row>
    <row r="153" spans="1:10">
      <c r="I153" s="19"/>
      <c r="J153">
        <f>SUM(I2:I152)</f>
        <v>41311</v>
      </c>
    </row>
    <row r="154" spans="1:10">
      <c r="J154">
        <v>600</v>
      </c>
    </row>
    <row r="155" spans="1:10">
      <c r="J155">
        <f>SUM(J153:J154)</f>
        <v>41911</v>
      </c>
    </row>
    <row r="156" spans="1:10">
      <c r="J156">
        <f>J155*0.05</f>
        <v>2095.55</v>
      </c>
    </row>
  </sheetData>
  <mergeCells count="19">
    <mergeCell ref="I2:I5"/>
    <mergeCell ref="I6:I11"/>
    <mergeCell ref="I12:I19"/>
    <mergeCell ref="I20:I31"/>
    <mergeCell ref="I32:I35"/>
    <mergeCell ref="I36:I43"/>
    <mergeCell ref="I44:I50"/>
    <mergeCell ref="I51:I56"/>
    <mergeCell ref="I57:I60"/>
    <mergeCell ref="I61:I65"/>
    <mergeCell ref="I66:I75"/>
    <mergeCell ref="I76:I86"/>
    <mergeCell ref="I87:I92"/>
    <mergeCell ref="I93:I106"/>
    <mergeCell ref="I107:I117"/>
    <mergeCell ref="I118:I125"/>
    <mergeCell ref="I126:I135"/>
    <mergeCell ref="I136:I147"/>
    <mergeCell ref="I148:I15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4"/>
  <sheetViews>
    <sheetView zoomScale="91" zoomScaleNormal="91" workbookViewId="0">
      <pane ySplit="1" topLeftCell="A88" activePane="bottomLeft" state="frozen"/>
      <selection/>
      <selection pane="bottomLeft" activeCell="A6" sqref="A6"/>
    </sheetView>
  </sheetViews>
  <sheetFormatPr defaultColWidth="10" defaultRowHeight="13.5"/>
  <cols>
    <col min="1" max="1" width="7.88333333333333" style="1" customWidth="1"/>
    <col min="2" max="2" width="5.11666666666667" style="1" customWidth="1"/>
    <col min="3" max="3" width="6" style="2" customWidth="1"/>
    <col min="4" max="7" width="9" style="1" customWidth="1"/>
    <col min="8" max="8" width="5" style="1" customWidth="1"/>
    <col min="9" max="9" width="5.11666666666667" style="1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45810</v>
      </c>
      <c r="B2" s="9">
        <v>827</v>
      </c>
      <c r="C2" s="10" t="s">
        <v>50</v>
      </c>
      <c r="D2" s="9">
        <v>100</v>
      </c>
      <c r="E2" s="9">
        <v>100</v>
      </c>
      <c r="F2" s="9"/>
      <c r="G2" s="9"/>
      <c r="H2" s="9" t="s">
        <v>10</v>
      </c>
      <c r="I2" s="11">
        <f>SUM(E2:E7)</f>
        <v>440</v>
      </c>
    </row>
    <row r="3" spans="1:16">
      <c r="A3" s="8">
        <v>45810</v>
      </c>
      <c r="B3" s="12">
        <v>840</v>
      </c>
      <c r="C3" s="13" t="s">
        <v>47</v>
      </c>
      <c r="D3" s="12">
        <v>102</v>
      </c>
      <c r="E3" s="12">
        <v>102</v>
      </c>
      <c r="F3" s="12"/>
      <c r="G3" s="12"/>
      <c r="H3" s="12" t="s">
        <v>10</v>
      </c>
      <c r="I3" s="14"/>
    </row>
    <row r="4" spans="1:16">
      <c r="A4" s="8">
        <v>45810</v>
      </c>
      <c r="B4" s="12">
        <v>817</v>
      </c>
      <c r="C4" s="13" t="s">
        <v>36</v>
      </c>
      <c r="D4" s="12">
        <v>40</v>
      </c>
      <c r="E4" s="12">
        <v>40</v>
      </c>
      <c r="F4" s="12"/>
      <c r="G4" s="12"/>
      <c r="H4" s="12" t="s">
        <v>10</v>
      </c>
      <c r="I4" s="14"/>
    </row>
    <row r="5" spans="1:16">
      <c r="A5" s="8">
        <v>45810</v>
      </c>
      <c r="B5" s="12">
        <v>809</v>
      </c>
      <c r="C5" s="13" t="s">
        <v>38</v>
      </c>
      <c r="D5" s="12">
        <v>110</v>
      </c>
      <c r="E5" s="12">
        <v>110</v>
      </c>
      <c r="F5" s="12"/>
      <c r="G5" s="12"/>
      <c r="H5" s="12" t="s">
        <v>10</v>
      </c>
      <c r="I5" s="14"/>
    </row>
    <row r="6" spans="1:16">
      <c r="A6" s="8">
        <v>45810</v>
      </c>
      <c r="B6" s="12">
        <v>613</v>
      </c>
      <c r="C6" s="13" t="s">
        <v>39</v>
      </c>
      <c r="D6" s="12">
        <v>30</v>
      </c>
      <c r="E6" s="12">
        <v>30</v>
      </c>
      <c r="F6" s="12"/>
      <c r="G6" s="12"/>
      <c r="H6" s="12" t="s">
        <v>10</v>
      </c>
      <c r="I6" s="14"/>
    </row>
    <row r="7" spans="1:16">
      <c r="A7" s="8">
        <v>45810</v>
      </c>
      <c r="B7" s="12">
        <v>885</v>
      </c>
      <c r="C7" s="13" t="s">
        <v>48</v>
      </c>
      <c r="D7" s="12">
        <v>58</v>
      </c>
      <c r="E7" s="12">
        <v>58</v>
      </c>
      <c r="F7" s="12"/>
      <c r="G7" s="12"/>
      <c r="H7" s="12" t="s">
        <v>10</v>
      </c>
      <c r="I7" s="14"/>
    </row>
    <row r="8" spans="1:16">
      <c r="A8" s="8">
        <v>45811</v>
      </c>
      <c r="B8" s="12">
        <v>809</v>
      </c>
      <c r="C8" s="13" t="s">
        <v>38</v>
      </c>
      <c r="D8" s="12">
        <v>140</v>
      </c>
      <c r="E8" s="12">
        <v>140</v>
      </c>
      <c r="F8" s="12"/>
      <c r="G8" s="12"/>
      <c r="H8" s="12" t="s">
        <v>10</v>
      </c>
      <c r="I8" s="14">
        <f>SUM(E8:E11)</f>
        <v>376</v>
      </c>
    </row>
    <row r="9" spans="1:16">
      <c r="A9" s="8">
        <v>45811</v>
      </c>
      <c r="B9" s="12">
        <v>875</v>
      </c>
      <c r="C9" s="13" t="s">
        <v>42</v>
      </c>
      <c r="D9" s="12">
        <v>70</v>
      </c>
      <c r="E9" s="12">
        <v>70</v>
      </c>
      <c r="F9" s="12"/>
      <c r="G9" s="12"/>
      <c r="H9" s="12" t="s">
        <v>10</v>
      </c>
      <c r="I9" s="14"/>
    </row>
    <row r="10" spans="1:16">
      <c r="A10" s="8">
        <v>45811</v>
      </c>
      <c r="B10" s="12">
        <v>813</v>
      </c>
      <c r="C10" s="13" t="s">
        <v>49</v>
      </c>
      <c r="D10" s="12">
        <v>148</v>
      </c>
      <c r="E10" s="12">
        <v>148</v>
      </c>
      <c r="F10" s="12"/>
      <c r="G10" s="12"/>
      <c r="H10" s="12" t="s">
        <v>10</v>
      </c>
      <c r="I10" s="14"/>
    </row>
    <row r="11" spans="1:16">
      <c r="A11" s="8">
        <v>45811</v>
      </c>
      <c r="B11" s="12">
        <v>899</v>
      </c>
      <c r="C11" s="13" t="s">
        <v>134</v>
      </c>
      <c r="D11" s="12">
        <v>18</v>
      </c>
      <c r="E11" s="12">
        <v>18</v>
      </c>
      <c r="F11" s="12"/>
      <c r="G11" s="12"/>
      <c r="H11" s="12" t="s">
        <v>10</v>
      </c>
      <c r="I11" s="14"/>
    </row>
    <row r="12" spans="1:16">
      <c r="A12" s="8">
        <v>45812</v>
      </c>
      <c r="B12" s="12">
        <v>827</v>
      </c>
      <c r="C12" s="13" t="s">
        <v>50</v>
      </c>
      <c r="D12" s="12">
        <v>58</v>
      </c>
      <c r="E12" s="12">
        <v>58</v>
      </c>
      <c r="F12" s="12"/>
      <c r="G12" s="12"/>
      <c r="H12" s="12" t="s">
        <v>10</v>
      </c>
      <c r="I12" s="14">
        <f>SUM(E12:E19)</f>
        <v>462</v>
      </c>
    </row>
    <row r="13" spans="1:16">
      <c r="A13" s="8">
        <v>45812</v>
      </c>
      <c r="B13" s="12">
        <v>809</v>
      </c>
      <c r="C13" s="13" t="s">
        <v>38</v>
      </c>
      <c r="D13" s="12">
        <v>90</v>
      </c>
      <c r="E13" s="12">
        <v>90</v>
      </c>
      <c r="F13" s="12"/>
      <c r="G13" s="12"/>
      <c r="H13" s="12" t="s">
        <v>10</v>
      </c>
      <c r="I13" s="14"/>
    </row>
    <row r="14" spans="1:16">
      <c r="A14" s="8">
        <v>45812</v>
      </c>
      <c r="B14" s="12">
        <v>835</v>
      </c>
      <c r="C14" s="13" t="s">
        <v>64</v>
      </c>
      <c r="D14" s="12">
        <v>90</v>
      </c>
      <c r="E14" s="12">
        <v>90</v>
      </c>
      <c r="F14" s="12"/>
      <c r="G14" s="12"/>
      <c r="H14" s="12" t="s">
        <v>10</v>
      </c>
      <c r="I14" s="14"/>
    </row>
    <row r="15" spans="1:16">
      <c r="A15" s="8">
        <v>45812</v>
      </c>
      <c r="B15" s="12">
        <v>838</v>
      </c>
      <c r="C15" s="13" t="s">
        <v>41</v>
      </c>
      <c r="D15" s="12">
        <v>70</v>
      </c>
      <c r="E15" s="12">
        <v>70</v>
      </c>
      <c r="F15" s="12"/>
      <c r="G15" s="12"/>
      <c r="H15" s="12" t="s">
        <v>10</v>
      </c>
      <c r="I15" s="14"/>
    </row>
    <row r="16" spans="1:16">
      <c r="A16" s="8">
        <v>45812</v>
      </c>
      <c r="B16" s="12">
        <v>837</v>
      </c>
      <c r="C16" s="13" t="s">
        <v>40</v>
      </c>
      <c r="D16" s="12">
        <v>60</v>
      </c>
      <c r="E16" s="12">
        <v>60</v>
      </c>
      <c r="F16" s="12"/>
      <c r="G16" s="12"/>
      <c r="H16" s="12" t="s">
        <v>10</v>
      </c>
      <c r="I16" s="14"/>
    </row>
    <row r="17" spans="1:9">
      <c r="A17" s="8">
        <v>45812</v>
      </c>
      <c r="B17" s="12">
        <v>609</v>
      </c>
      <c r="C17" s="13" t="s">
        <v>33</v>
      </c>
      <c r="D17" s="12">
        <v>30</v>
      </c>
      <c r="E17" s="12">
        <v>30</v>
      </c>
      <c r="F17" s="12"/>
      <c r="G17" s="12"/>
      <c r="H17" s="12" t="s">
        <v>10</v>
      </c>
      <c r="I17" s="14"/>
    </row>
    <row r="18" spans="1:9">
      <c r="A18" s="8">
        <v>45812</v>
      </c>
      <c r="B18" s="12">
        <v>818</v>
      </c>
      <c r="C18" s="13" t="s">
        <v>37</v>
      </c>
      <c r="D18" s="12">
        <v>40</v>
      </c>
      <c r="E18" s="12">
        <v>40</v>
      </c>
      <c r="F18" s="12"/>
      <c r="G18" s="12"/>
      <c r="H18" s="12" t="s">
        <v>10</v>
      </c>
      <c r="I18" s="14"/>
    </row>
    <row r="19" spans="1:9">
      <c r="A19" s="8">
        <v>45812</v>
      </c>
      <c r="B19" s="12">
        <v>807</v>
      </c>
      <c r="C19" s="13" t="s">
        <v>52</v>
      </c>
      <c r="D19" s="12">
        <v>24</v>
      </c>
      <c r="E19" s="12">
        <v>24</v>
      </c>
      <c r="F19" s="12"/>
      <c r="G19" s="12"/>
      <c r="H19" s="12" t="s">
        <v>10</v>
      </c>
      <c r="I19" s="14"/>
    </row>
    <row r="20" spans="1:9">
      <c r="A20" s="8">
        <v>45813</v>
      </c>
      <c r="B20" s="12">
        <v>837</v>
      </c>
      <c r="C20" s="13" t="s">
        <v>40</v>
      </c>
      <c r="D20" s="12">
        <v>189</v>
      </c>
      <c r="E20" s="12">
        <v>189</v>
      </c>
      <c r="F20" s="12"/>
      <c r="G20" s="12"/>
      <c r="H20" s="12" t="s">
        <v>10</v>
      </c>
      <c r="I20" s="14">
        <f>SUM(E20:E25)</f>
        <v>589</v>
      </c>
    </row>
    <row r="21" spans="1:9">
      <c r="A21" s="8">
        <v>45813</v>
      </c>
      <c r="B21" s="12">
        <v>613</v>
      </c>
      <c r="C21" s="13" t="s">
        <v>39</v>
      </c>
      <c r="D21" s="12">
        <v>21</v>
      </c>
      <c r="E21" s="12">
        <v>21</v>
      </c>
      <c r="F21" s="12"/>
      <c r="G21" s="12"/>
      <c r="H21" s="12" t="s">
        <v>10</v>
      </c>
      <c r="I21" s="14"/>
    </row>
    <row r="22" spans="1:9">
      <c r="A22" s="8">
        <v>45813</v>
      </c>
      <c r="B22" s="12">
        <v>835</v>
      </c>
      <c r="C22" s="13" t="s">
        <v>64</v>
      </c>
      <c r="D22" s="12">
        <v>183</v>
      </c>
      <c r="E22" s="12">
        <v>183</v>
      </c>
      <c r="F22" s="12"/>
      <c r="G22" s="12"/>
      <c r="H22" s="12" t="s">
        <v>10</v>
      </c>
      <c r="I22" s="14"/>
    </row>
    <row r="23" spans="1:9">
      <c r="A23" s="8">
        <v>45813</v>
      </c>
      <c r="B23" s="12">
        <v>838</v>
      </c>
      <c r="C23" s="13" t="s">
        <v>41</v>
      </c>
      <c r="D23" s="12">
        <v>171</v>
      </c>
      <c r="E23" s="12">
        <v>171</v>
      </c>
      <c r="F23" s="12"/>
      <c r="G23" s="12"/>
      <c r="H23" s="12" t="s">
        <v>10</v>
      </c>
      <c r="I23" s="14"/>
    </row>
    <row r="24" spans="1:9">
      <c r="A24" s="8">
        <v>45813</v>
      </c>
      <c r="B24" s="12">
        <v>828</v>
      </c>
      <c r="C24" s="13" t="s">
        <v>51</v>
      </c>
      <c r="D24" s="12">
        <v>15</v>
      </c>
      <c r="E24" s="12">
        <v>15</v>
      </c>
      <c r="F24" s="12"/>
      <c r="G24" s="12"/>
      <c r="H24" s="12" t="s">
        <v>10</v>
      </c>
      <c r="I24" s="14"/>
    </row>
    <row r="25" spans="1:9">
      <c r="A25" s="8">
        <v>45813</v>
      </c>
      <c r="B25" s="12">
        <v>888</v>
      </c>
      <c r="C25" s="13" t="s">
        <v>135</v>
      </c>
      <c r="D25" s="12">
        <v>10</v>
      </c>
      <c r="E25" s="12">
        <v>10</v>
      </c>
      <c r="F25" s="12"/>
      <c r="G25" s="12"/>
      <c r="H25" s="12" t="s">
        <v>10</v>
      </c>
      <c r="I25" s="14"/>
    </row>
    <row r="26" spans="1:9">
      <c r="A26" s="8">
        <v>45814</v>
      </c>
      <c r="B26" s="12">
        <v>835</v>
      </c>
      <c r="C26" s="13" t="s">
        <v>64</v>
      </c>
      <c r="D26" s="12">
        <v>246</v>
      </c>
      <c r="E26" s="12">
        <v>246</v>
      </c>
      <c r="F26" s="12"/>
      <c r="G26" s="12"/>
      <c r="H26" s="12" t="s">
        <v>10</v>
      </c>
      <c r="I26" s="14">
        <f>SUM(E26:E34)</f>
        <v>1049</v>
      </c>
    </row>
    <row r="27" spans="1:9">
      <c r="A27" s="8">
        <v>45814</v>
      </c>
      <c r="B27" s="12">
        <v>809</v>
      </c>
      <c r="C27" s="13" t="s">
        <v>38</v>
      </c>
      <c r="D27" s="12">
        <v>231</v>
      </c>
      <c r="E27" s="12">
        <v>231</v>
      </c>
      <c r="F27" s="12"/>
      <c r="G27" s="12"/>
      <c r="H27" s="12" t="s">
        <v>10</v>
      </c>
      <c r="I27" s="14"/>
    </row>
    <row r="28" spans="1:9">
      <c r="A28" s="8">
        <v>45814</v>
      </c>
      <c r="B28" s="12">
        <v>838</v>
      </c>
      <c r="C28" s="13" t="s">
        <v>41</v>
      </c>
      <c r="D28" s="12">
        <v>177</v>
      </c>
      <c r="E28" s="12">
        <v>177</v>
      </c>
      <c r="F28" s="12"/>
      <c r="G28" s="12"/>
      <c r="H28" s="12" t="s">
        <v>10</v>
      </c>
      <c r="I28" s="14"/>
    </row>
    <row r="29" spans="1:9">
      <c r="A29" s="8">
        <v>45814</v>
      </c>
      <c r="B29" s="12">
        <v>837</v>
      </c>
      <c r="C29" s="13" t="s">
        <v>40</v>
      </c>
      <c r="D29" s="12">
        <v>138</v>
      </c>
      <c r="E29" s="12">
        <v>138</v>
      </c>
      <c r="F29" s="12"/>
      <c r="G29" s="12"/>
      <c r="H29" s="12" t="s">
        <v>10</v>
      </c>
      <c r="I29" s="14"/>
    </row>
    <row r="30" spans="1:9">
      <c r="A30" s="8">
        <v>45814</v>
      </c>
      <c r="B30" s="12">
        <v>613</v>
      </c>
      <c r="C30" s="13" t="s">
        <v>39</v>
      </c>
      <c r="D30" s="12">
        <v>30</v>
      </c>
      <c r="E30" s="12">
        <v>30</v>
      </c>
      <c r="F30" s="12"/>
      <c r="G30" s="12"/>
      <c r="H30" s="12" t="s">
        <v>10</v>
      </c>
      <c r="I30" s="14"/>
    </row>
    <row r="31" spans="1:9">
      <c r="A31" s="8">
        <v>45814</v>
      </c>
      <c r="B31" s="12">
        <v>871</v>
      </c>
      <c r="C31" s="13" t="s">
        <v>63</v>
      </c>
      <c r="D31" s="12">
        <v>35</v>
      </c>
      <c r="E31" s="12">
        <v>35</v>
      </c>
      <c r="F31" s="12"/>
      <c r="G31" s="12"/>
      <c r="H31" s="12" t="s">
        <v>10</v>
      </c>
      <c r="I31" s="14"/>
    </row>
    <row r="32" spans="1:9">
      <c r="A32" s="8">
        <v>45814</v>
      </c>
      <c r="B32" s="12">
        <v>836</v>
      </c>
      <c r="C32" s="13" t="s">
        <v>136</v>
      </c>
      <c r="D32" s="12">
        <v>20</v>
      </c>
      <c r="E32" s="12">
        <v>20</v>
      </c>
      <c r="F32" s="12"/>
      <c r="G32" s="12"/>
      <c r="H32" s="12" t="s">
        <v>10</v>
      </c>
      <c r="I32" s="14"/>
    </row>
    <row r="33" spans="1:9">
      <c r="A33" s="8">
        <v>45814</v>
      </c>
      <c r="B33" s="12">
        <v>827</v>
      </c>
      <c r="C33" s="13" t="s">
        <v>50</v>
      </c>
      <c r="D33" s="12">
        <v>62</v>
      </c>
      <c r="E33" s="12">
        <v>62</v>
      </c>
      <c r="F33" s="12"/>
      <c r="G33" s="12"/>
      <c r="H33" s="12" t="s">
        <v>10</v>
      </c>
      <c r="I33" s="14"/>
    </row>
    <row r="34" spans="1:9">
      <c r="A34" s="8">
        <v>45814</v>
      </c>
      <c r="B34" s="12">
        <v>840</v>
      </c>
      <c r="C34" s="13" t="s">
        <v>47</v>
      </c>
      <c r="D34" s="12">
        <v>110</v>
      </c>
      <c r="E34" s="12">
        <v>110</v>
      </c>
      <c r="F34" s="12"/>
      <c r="G34" s="12"/>
      <c r="H34" s="12" t="s">
        <v>10</v>
      </c>
      <c r="I34" s="14"/>
    </row>
    <row r="35" spans="1:9">
      <c r="A35" s="8">
        <v>45817</v>
      </c>
      <c r="B35" s="12">
        <v>828</v>
      </c>
      <c r="C35" s="13" t="s">
        <v>51</v>
      </c>
      <c r="D35" s="12">
        <v>50</v>
      </c>
      <c r="E35" s="12">
        <v>50</v>
      </c>
      <c r="F35" s="12"/>
      <c r="G35" s="12"/>
      <c r="H35" s="12" t="s">
        <v>10</v>
      </c>
      <c r="I35" s="14">
        <f>SUM(E35:E40)</f>
        <v>679</v>
      </c>
    </row>
    <row r="36" spans="1:9">
      <c r="A36" s="8">
        <v>45817</v>
      </c>
      <c r="B36" s="12">
        <v>840</v>
      </c>
      <c r="C36" s="13" t="s">
        <v>47</v>
      </c>
      <c r="D36" s="12">
        <v>267</v>
      </c>
      <c r="E36" s="12">
        <v>267</v>
      </c>
      <c r="F36" s="12"/>
      <c r="G36" s="12"/>
      <c r="H36" s="12" t="s">
        <v>10</v>
      </c>
      <c r="I36" s="14"/>
    </row>
    <row r="37" spans="1:9">
      <c r="A37" s="8">
        <v>45817</v>
      </c>
      <c r="B37" s="12">
        <v>880</v>
      </c>
      <c r="C37" s="13" t="s">
        <v>32</v>
      </c>
      <c r="D37" s="12">
        <v>30</v>
      </c>
      <c r="E37" s="12">
        <v>30</v>
      </c>
      <c r="F37" s="12"/>
      <c r="G37" s="12"/>
      <c r="H37" s="12" t="s">
        <v>10</v>
      </c>
      <c r="I37" s="14"/>
    </row>
    <row r="38" spans="1:9">
      <c r="A38" s="8">
        <v>45817</v>
      </c>
      <c r="B38" s="12">
        <v>875</v>
      </c>
      <c r="C38" s="13" t="s">
        <v>42</v>
      </c>
      <c r="D38" s="12">
        <v>267</v>
      </c>
      <c r="E38" s="12">
        <v>267</v>
      </c>
      <c r="F38" s="12"/>
      <c r="G38" s="12"/>
      <c r="H38" s="12" t="s">
        <v>10</v>
      </c>
      <c r="I38" s="14"/>
    </row>
    <row r="39" spans="1:9">
      <c r="A39" s="8">
        <v>45817</v>
      </c>
      <c r="B39" s="12">
        <v>807</v>
      </c>
      <c r="C39" s="13" t="s">
        <v>52</v>
      </c>
      <c r="D39" s="12">
        <v>25</v>
      </c>
      <c r="E39" s="12">
        <v>25</v>
      </c>
      <c r="F39" s="12"/>
      <c r="G39" s="12"/>
      <c r="H39" s="12" t="s">
        <v>10</v>
      </c>
      <c r="I39" s="14"/>
    </row>
    <row r="40" spans="1:9">
      <c r="A40" s="8">
        <v>45817</v>
      </c>
      <c r="B40" s="12">
        <v>9875</v>
      </c>
      <c r="C40" s="13" t="s">
        <v>43</v>
      </c>
      <c r="D40" s="12">
        <v>40</v>
      </c>
      <c r="E40" s="12">
        <v>40</v>
      </c>
      <c r="F40" s="12"/>
      <c r="G40" s="12"/>
      <c r="H40" s="12" t="s">
        <v>10</v>
      </c>
      <c r="I40" s="14"/>
    </row>
    <row r="41" spans="1:9">
      <c r="A41" s="8">
        <v>45818</v>
      </c>
      <c r="B41" s="12">
        <v>837</v>
      </c>
      <c r="C41" s="13" t="s">
        <v>40</v>
      </c>
      <c r="D41" s="12">
        <v>122</v>
      </c>
      <c r="E41" s="12">
        <v>122</v>
      </c>
      <c r="F41" s="12"/>
      <c r="G41" s="12"/>
      <c r="H41" s="12" t="s">
        <v>10</v>
      </c>
      <c r="I41" s="14">
        <f>SUM(E41:E45)</f>
        <v>362</v>
      </c>
    </row>
    <row r="42" spans="1:9">
      <c r="A42" s="8">
        <v>45818</v>
      </c>
      <c r="B42" s="12">
        <v>838</v>
      </c>
      <c r="C42" s="13" t="s">
        <v>41</v>
      </c>
      <c r="D42" s="12">
        <v>58</v>
      </c>
      <c r="E42" s="12">
        <v>58</v>
      </c>
      <c r="F42" s="12"/>
      <c r="G42" s="12"/>
      <c r="H42" s="12" t="s">
        <v>10</v>
      </c>
      <c r="I42" s="14"/>
    </row>
    <row r="43" spans="1:9">
      <c r="A43" s="8">
        <v>45818</v>
      </c>
      <c r="B43" s="12">
        <v>818</v>
      </c>
      <c r="C43" s="13" t="s">
        <v>37</v>
      </c>
      <c r="D43" s="12">
        <v>37</v>
      </c>
      <c r="E43" s="12">
        <v>37</v>
      </c>
      <c r="F43" s="12"/>
      <c r="G43" s="12"/>
      <c r="H43" s="12" t="s">
        <v>10</v>
      </c>
      <c r="I43" s="14"/>
    </row>
    <row r="44" spans="1:9">
      <c r="A44" s="8">
        <v>45818</v>
      </c>
      <c r="B44" s="12">
        <v>840</v>
      </c>
      <c r="C44" s="13" t="s">
        <v>47</v>
      </c>
      <c r="D44" s="12">
        <v>120</v>
      </c>
      <c r="E44" s="12">
        <v>120</v>
      </c>
      <c r="F44" s="12"/>
      <c r="G44" s="12"/>
      <c r="H44" s="12" t="s">
        <v>10</v>
      </c>
      <c r="I44" s="14"/>
    </row>
    <row r="45" spans="1:9">
      <c r="A45" s="8">
        <v>45818</v>
      </c>
      <c r="B45" s="12">
        <v>896</v>
      </c>
      <c r="C45" s="13" t="s">
        <v>31</v>
      </c>
      <c r="D45" s="12">
        <v>25</v>
      </c>
      <c r="E45" s="12">
        <v>25</v>
      </c>
      <c r="F45" s="12"/>
      <c r="G45" s="12"/>
      <c r="H45" s="12" t="s">
        <v>10</v>
      </c>
      <c r="I45" s="14"/>
    </row>
    <row r="46" spans="1:9">
      <c r="A46" s="8">
        <v>45820</v>
      </c>
      <c r="B46" s="12">
        <v>835</v>
      </c>
      <c r="C46" s="13" t="s">
        <v>64</v>
      </c>
      <c r="D46" s="12">
        <v>240</v>
      </c>
      <c r="E46" s="12">
        <v>240</v>
      </c>
      <c r="F46" s="12"/>
      <c r="G46" s="12"/>
      <c r="H46" s="12" t="s">
        <v>10</v>
      </c>
      <c r="I46" s="14">
        <f>SUM(E46:E54)</f>
        <v>956</v>
      </c>
    </row>
    <row r="47" spans="1:9">
      <c r="A47" s="8">
        <v>45820</v>
      </c>
      <c r="B47" s="12">
        <v>838</v>
      </c>
      <c r="C47" s="13" t="s">
        <v>41</v>
      </c>
      <c r="D47" s="12">
        <v>142</v>
      </c>
      <c r="E47" s="12">
        <v>142</v>
      </c>
      <c r="F47" s="12"/>
      <c r="G47" s="12"/>
      <c r="H47" s="12" t="s">
        <v>10</v>
      </c>
      <c r="I47" s="14"/>
    </row>
    <row r="48" spans="1:9">
      <c r="A48" s="8">
        <v>45820</v>
      </c>
      <c r="B48" s="12">
        <v>809</v>
      </c>
      <c r="C48" s="13" t="s">
        <v>38</v>
      </c>
      <c r="D48" s="12">
        <v>110</v>
      </c>
      <c r="E48" s="12">
        <v>110</v>
      </c>
      <c r="F48" s="12"/>
      <c r="G48" s="12"/>
      <c r="H48" s="12" t="s">
        <v>10</v>
      </c>
      <c r="I48" s="14"/>
    </row>
    <row r="49" spans="1:9">
      <c r="A49" s="8">
        <v>45820</v>
      </c>
      <c r="B49" s="12">
        <v>837</v>
      </c>
      <c r="C49" s="13" t="s">
        <v>40</v>
      </c>
      <c r="D49" s="12">
        <v>60</v>
      </c>
      <c r="E49" s="12">
        <v>60</v>
      </c>
      <c r="F49" s="12"/>
      <c r="G49" s="12"/>
      <c r="H49" s="12" t="s">
        <v>10</v>
      </c>
      <c r="I49" s="14"/>
    </row>
    <row r="50" spans="1:9">
      <c r="A50" s="8">
        <v>45820</v>
      </c>
      <c r="B50" s="12">
        <v>840</v>
      </c>
      <c r="C50" s="13" t="s">
        <v>47</v>
      </c>
      <c r="D50" s="12">
        <v>195</v>
      </c>
      <c r="E50" s="12">
        <v>195</v>
      </c>
      <c r="F50" s="12"/>
      <c r="G50" s="12"/>
      <c r="H50" s="12" t="s">
        <v>10</v>
      </c>
      <c r="I50" s="14"/>
    </row>
    <row r="51" spans="1:9">
      <c r="A51" s="8">
        <v>45820</v>
      </c>
      <c r="B51" s="12">
        <v>609</v>
      </c>
      <c r="C51" s="13" t="s">
        <v>33</v>
      </c>
      <c r="D51" s="12">
        <v>46</v>
      </c>
      <c r="E51" s="12">
        <v>46</v>
      </c>
      <c r="F51" s="12"/>
      <c r="G51" s="12"/>
      <c r="H51" s="12" t="s">
        <v>10</v>
      </c>
      <c r="I51" s="14"/>
    </row>
    <row r="52" spans="1:9">
      <c r="A52" s="8">
        <v>45820</v>
      </c>
      <c r="B52" s="12">
        <v>888</v>
      </c>
      <c r="C52" s="13" t="s">
        <v>135</v>
      </c>
      <c r="D52" s="12">
        <v>30</v>
      </c>
      <c r="E52" s="12">
        <v>30</v>
      </c>
      <c r="F52" s="12"/>
      <c r="G52" s="12"/>
      <c r="H52" s="12" t="s">
        <v>10</v>
      </c>
      <c r="I52" s="14"/>
    </row>
    <row r="53" spans="1:9">
      <c r="A53" s="8">
        <v>45820</v>
      </c>
      <c r="B53" s="12">
        <v>875</v>
      </c>
      <c r="C53" s="13" t="s">
        <v>42</v>
      </c>
      <c r="D53" s="12">
        <v>120</v>
      </c>
      <c r="E53" s="12">
        <v>120</v>
      </c>
      <c r="F53" s="12"/>
      <c r="G53" s="12"/>
      <c r="H53" s="12" t="s">
        <v>10</v>
      </c>
      <c r="I53" s="14"/>
    </row>
    <row r="54" spans="1:9">
      <c r="A54" s="8">
        <v>45820</v>
      </c>
      <c r="B54" s="12">
        <v>807</v>
      </c>
      <c r="C54" s="13" t="s">
        <v>52</v>
      </c>
      <c r="D54" s="12">
        <v>13</v>
      </c>
      <c r="E54" s="12">
        <v>13</v>
      </c>
      <c r="F54" s="12"/>
      <c r="G54" s="12"/>
      <c r="H54" s="12" t="s">
        <v>10</v>
      </c>
      <c r="I54" s="14"/>
    </row>
    <row r="55" spans="1:9">
      <c r="A55" s="8">
        <v>45821</v>
      </c>
      <c r="B55" s="12">
        <v>835</v>
      </c>
      <c r="C55" s="13" t="s">
        <v>64</v>
      </c>
      <c r="D55" s="12">
        <v>220</v>
      </c>
      <c r="E55" s="12">
        <v>220</v>
      </c>
      <c r="F55" s="12"/>
      <c r="G55" s="12"/>
      <c r="H55" s="12" t="s">
        <v>10</v>
      </c>
      <c r="I55" s="14">
        <f>SUM(E55:E61)</f>
        <v>885</v>
      </c>
    </row>
    <row r="56" spans="1:9">
      <c r="A56" s="8">
        <v>45821</v>
      </c>
      <c r="B56" s="12">
        <v>838</v>
      </c>
      <c r="C56" s="13" t="s">
        <v>41</v>
      </c>
      <c r="D56" s="12">
        <v>166</v>
      </c>
      <c r="E56" s="12">
        <v>166</v>
      </c>
      <c r="F56" s="12"/>
      <c r="G56" s="12"/>
      <c r="H56" s="12" t="s">
        <v>10</v>
      </c>
      <c r="I56" s="14"/>
    </row>
    <row r="57" spans="1:9">
      <c r="A57" s="8">
        <v>45821</v>
      </c>
      <c r="B57" s="12">
        <v>809</v>
      </c>
      <c r="C57" s="13" t="s">
        <v>38</v>
      </c>
      <c r="D57" s="12">
        <v>100</v>
      </c>
      <c r="E57" s="12">
        <v>100</v>
      </c>
      <c r="F57" s="12"/>
      <c r="G57" s="12"/>
      <c r="H57" s="12" t="s">
        <v>10</v>
      </c>
      <c r="I57" s="14"/>
    </row>
    <row r="58" spans="1:9">
      <c r="A58" s="8">
        <v>45821</v>
      </c>
      <c r="B58" s="12">
        <v>885</v>
      </c>
      <c r="C58" s="13" t="s">
        <v>48</v>
      </c>
      <c r="D58" s="12">
        <v>30</v>
      </c>
      <c r="E58" s="12">
        <v>30</v>
      </c>
      <c r="F58" s="12"/>
      <c r="G58" s="12"/>
      <c r="H58" s="12" t="s">
        <v>10</v>
      </c>
      <c r="I58" s="14"/>
    </row>
    <row r="59" spans="1:9">
      <c r="A59" s="8">
        <v>45821</v>
      </c>
      <c r="B59" s="12">
        <v>613</v>
      </c>
      <c r="C59" s="13" t="s">
        <v>39</v>
      </c>
      <c r="D59" s="12">
        <v>30</v>
      </c>
      <c r="E59" s="12">
        <v>30</v>
      </c>
      <c r="F59" s="12"/>
      <c r="G59" s="12"/>
      <c r="H59" s="12" t="s">
        <v>10</v>
      </c>
      <c r="I59" s="14"/>
    </row>
    <row r="60" spans="1:9">
      <c r="A60" s="8">
        <v>45821</v>
      </c>
      <c r="B60" s="12">
        <v>840</v>
      </c>
      <c r="C60" s="13" t="s">
        <v>47</v>
      </c>
      <c r="D60" s="12">
        <v>159</v>
      </c>
      <c r="E60" s="12">
        <v>159</v>
      </c>
      <c r="F60" s="12"/>
      <c r="G60" s="12"/>
      <c r="H60" s="12" t="s">
        <v>10</v>
      </c>
      <c r="I60" s="14"/>
    </row>
    <row r="61" spans="1:9">
      <c r="A61" s="8">
        <v>45821</v>
      </c>
      <c r="B61" s="12">
        <v>875</v>
      </c>
      <c r="C61" s="13" t="s">
        <v>42</v>
      </c>
      <c r="D61" s="12">
        <v>180</v>
      </c>
      <c r="E61" s="12">
        <v>180</v>
      </c>
      <c r="F61" s="12"/>
      <c r="G61" s="12"/>
      <c r="H61" s="12" t="s">
        <v>10</v>
      </c>
      <c r="I61" s="14"/>
    </row>
    <row r="62" spans="1:9">
      <c r="A62" s="8">
        <v>45824</v>
      </c>
      <c r="B62" s="12">
        <v>838</v>
      </c>
      <c r="C62" s="13" t="s">
        <v>41</v>
      </c>
      <c r="D62" s="12">
        <v>102</v>
      </c>
      <c r="E62" s="12">
        <v>102</v>
      </c>
      <c r="F62" s="12"/>
      <c r="G62" s="12"/>
      <c r="H62" s="12" t="s">
        <v>10</v>
      </c>
      <c r="I62" s="14">
        <f>SUM(E62:E71)</f>
        <v>1309</v>
      </c>
    </row>
    <row r="63" spans="1:9">
      <c r="A63" s="8">
        <v>45824</v>
      </c>
      <c r="B63" s="12">
        <v>885</v>
      </c>
      <c r="C63" s="13" t="s">
        <v>48</v>
      </c>
      <c r="D63" s="12">
        <v>36</v>
      </c>
      <c r="E63" s="12">
        <v>36</v>
      </c>
      <c r="F63" s="12"/>
      <c r="G63" s="12"/>
      <c r="H63" s="12" t="s">
        <v>10</v>
      </c>
      <c r="I63" s="14"/>
    </row>
    <row r="64" spans="1:9">
      <c r="A64" s="8">
        <v>45824</v>
      </c>
      <c r="B64" s="12">
        <v>871</v>
      </c>
      <c r="C64" s="13" t="s">
        <v>63</v>
      </c>
      <c r="D64" s="12">
        <v>46</v>
      </c>
      <c r="E64" s="12">
        <v>46</v>
      </c>
      <c r="F64" s="12"/>
      <c r="G64" s="12"/>
      <c r="H64" s="12" t="s">
        <v>10</v>
      </c>
      <c r="I64" s="14"/>
    </row>
    <row r="65" spans="1:9">
      <c r="A65" s="8">
        <v>45824</v>
      </c>
      <c r="B65" s="12">
        <v>613</v>
      </c>
      <c r="C65" s="13" t="s">
        <v>39</v>
      </c>
      <c r="D65" s="12">
        <v>36</v>
      </c>
      <c r="E65" s="12">
        <v>36</v>
      </c>
      <c r="F65" s="12"/>
      <c r="G65" s="12"/>
      <c r="H65" s="12" t="s">
        <v>10</v>
      </c>
      <c r="I65" s="14"/>
    </row>
    <row r="66" spans="1:9">
      <c r="A66" s="8">
        <v>45824</v>
      </c>
      <c r="B66" s="12">
        <v>827</v>
      </c>
      <c r="C66" s="13" t="s">
        <v>50</v>
      </c>
      <c r="D66" s="12">
        <v>28</v>
      </c>
      <c r="E66" s="12">
        <v>28</v>
      </c>
      <c r="F66" s="12"/>
      <c r="G66" s="12"/>
      <c r="H66" s="12" t="s">
        <v>10</v>
      </c>
      <c r="I66" s="14"/>
    </row>
    <row r="67" spans="1:9">
      <c r="A67" s="8">
        <v>45824</v>
      </c>
      <c r="B67" s="12">
        <v>813</v>
      </c>
      <c r="C67" s="13" t="s">
        <v>49</v>
      </c>
      <c r="D67" s="12">
        <v>24</v>
      </c>
      <c r="E67" s="12">
        <v>24</v>
      </c>
      <c r="F67" s="12"/>
      <c r="G67" s="12"/>
      <c r="H67" s="12" t="s">
        <v>10</v>
      </c>
      <c r="I67" s="14"/>
    </row>
    <row r="68" spans="1:9">
      <c r="A68" s="8">
        <v>45824</v>
      </c>
      <c r="B68" s="12">
        <v>840</v>
      </c>
      <c r="C68" s="13" t="s">
        <v>47</v>
      </c>
      <c r="D68" s="12">
        <v>52</v>
      </c>
      <c r="E68" s="12">
        <v>52</v>
      </c>
      <c r="F68" s="12"/>
      <c r="G68" s="12"/>
      <c r="H68" s="12" t="s">
        <v>10</v>
      </c>
      <c r="I68" s="14"/>
    </row>
    <row r="69" spans="1:9">
      <c r="A69" s="8">
        <v>45824</v>
      </c>
      <c r="B69" s="12">
        <v>807</v>
      </c>
      <c r="C69" s="13" t="s">
        <v>52</v>
      </c>
      <c r="D69" s="12">
        <v>13</v>
      </c>
      <c r="E69" s="12">
        <v>13</v>
      </c>
      <c r="F69" s="12"/>
      <c r="G69" s="12"/>
      <c r="H69" s="12" t="s">
        <v>10</v>
      </c>
      <c r="I69" s="14"/>
    </row>
    <row r="70" spans="1:9">
      <c r="A70" s="8">
        <v>45824</v>
      </c>
      <c r="B70" s="12">
        <v>875</v>
      </c>
      <c r="C70" s="13" t="s">
        <v>42</v>
      </c>
      <c r="D70" s="12">
        <v>42</v>
      </c>
      <c r="E70" s="12">
        <v>42</v>
      </c>
      <c r="F70" s="12"/>
      <c r="G70" s="12"/>
      <c r="H70" s="12" t="s">
        <v>10</v>
      </c>
      <c r="I70" s="14"/>
    </row>
    <row r="71" spans="1:9">
      <c r="A71" s="8">
        <v>45824</v>
      </c>
      <c r="B71" s="12">
        <v>9875</v>
      </c>
      <c r="C71" s="13" t="s">
        <v>43</v>
      </c>
      <c r="D71" s="12">
        <v>930</v>
      </c>
      <c r="E71" s="12">
        <v>930</v>
      </c>
      <c r="F71" s="12"/>
      <c r="G71" s="12"/>
      <c r="H71" s="12" t="s">
        <v>10</v>
      </c>
      <c r="I71" s="14"/>
    </row>
    <row r="72" spans="1:9">
      <c r="A72" s="8">
        <v>45825</v>
      </c>
      <c r="B72" s="12">
        <v>840</v>
      </c>
      <c r="C72" s="13" t="s">
        <v>47</v>
      </c>
      <c r="D72" s="12">
        <v>50</v>
      </c>
      <c r="E72" s="12">
        <v>50</v>
      </c>
      <c r="F72" s="12"/>
      <c r="G72" s="12"/>
      <c r="H72" s="12" t="s">
        <v>10</v>
      </c>
      <c r="I72" s="14">
        <f>SUM(E72:E79)</f>
        <v>1460</v>
      </c>
    </row>
    <row r="73" spans="1:9">
      <c r="A73" s="8">
        <v>45825</v>
      </c>
      <c r="B73" s="12">
        <v>810</v>
      </c>
      <c r="C73" s="13" t="s">
        <v>34</v>
      </c>
      <c r="D73" s="12">
        <v>40</v>
      </c>
      <c r="E73" s="12">
        <v>40</v>
      </c>
      <c r="F73" s="12"/>
      <c r="G73" s="12"/>
      <c r="H73" s="12" t="s">
        <v>10</v>
      </c>
      <c r="I73" s="14"/>
    </row>
    <row r="74" spans="1:9">
      <c r="A74" s="8">
        <v>45825</v>
      </c>
      <c r="B74" s="12">
        <v>875</v>
      </c>
      <c r="C74" s="13" t="s">
        <v>42</v>
      </c>
      <c r="D74" s="12">
        <v>96</v>
      </c>
      <c r="E74" s="12">
        <v>96</v>
      </c>
      <c r="F74" s="12"/>
      <c r="G74" s="12"/>
      <c r="H74" s="12" t="s">
        <v>10</v>
      </c>
      <c r="I74" s="14"/>
    </row>
    <row r="75" spans="1:9">
      <c r="A75" s="8">
        <v>45825</v>
      </c>
      <c r="B75" s="12">
        <v>807</v>
      </c>
      <c r="C75" s="13" t="s">
        <v>52</v>
      </c>
      <c r="D75" s="12">
        <v>76</v>
      </c>
      <c r="E75" s="12">
        <v>76</v>
      </c>
      <c r="F75" s="12"/>
      <c r="G75" s="12"/>
      <c r="H75" s="12" t="s">
        <v>10</v>
      </c>
      <c r="I75" s="14"/>
    </row>
    <row r="76" spans="1:9">
      <c r="A76" s="8">
        <v>45825</v>
      </c>
      <c r="B76" s="12">
        <v>9875</v>
      </c>
      <c r="C76" s="13">
        <v>94</v>
      </c>
      <c r="D76" s="12">
        <v>94</v>
      </c>
      <c r="E76" s="12">
        <v>94</v>
      </c>
      <c r="F76" s="12"/>
      <c r="G76" s="12"/>
      <c r="H76" s="12" t="s">
        <v>10</v>
      </c>
      <c r="I76" s="14"/>
    </row>
    <row r="77" spans="1:9">
      <c r="A77" s="8">
        <v>45825</v>
      </c>
      <c r="B77" s="12">
        <v>835</v>
      </c>
      <c r="C77" s="13" t="s">
        <v>64</v>
      </c>
      <c r="D77" s="12">
        <v>46</v>
      </c>
      <c r="E77" s="12">
        <v>46</v>
      </c>
      <c r="F77" s="12"/>
      <c r="G77" s="12"/>
      <c r="H77" s="12" t="s">
        <v>10</v>
      </c>
      <c r="I77" s="14"/>
    </row>
    <row r="78" spans="1:9">
      <c r="A78" s="8">
        <v>45825</v>
      </c>
      <c r="B78" s="12">
        <v>838</v>
      </c>
      <c r="C78" s="13" t="s">
        <v>41</v>
      </c>
      <c r="D78" s="12">
        <v>464</v>
      </c>
      <c r="E78" s="12">
        <v>464</v>
      </c>
      <c r="F78" s="12"/>
      <c r="G78" s="12"/>
      <c r="H78" s="12" t="s">
        <v>10</v>
      </c>
      <c r="I78" s="14"/>
    </row>
    <row r="79" spans="1:9">
      <c r="A79" s="8">
        <v>45825</v>
      </c>
      <c r="B79" s="12">
        <v>809</v>
      </c>
      <c r="C79" s="13" t="s">
        <v>38</v>
      </c>
      <c r="D79" s="12">
        <v>594</v>
      </c>
      <c r="E79" s="12">
        <v>594</v>
      </c>
      <c r="F79" s="12"/>
      <c r="G79" s="12"/>
      <c r="H79" s="12" t="s">
        <v>10</v>
      </c>
      <c r="I79" s="14"/>
    </row>
    <row r="80" spans="1:9">
      <c r="A80" s="8">
        <v>45826</v>
      </c>
      <c r="B80" s="12">
        <v>838</v>
      </c>
      <c r="C80" s="13" t="s">
        <v>41</v>
      </c>
      <c r="D80" s="12">
        <v>304</v>
      </c>
      <c r="E80" s="12">
        <v>304</v>
      </c>
      <c r="F80" s="12"/>
      <c r="G80" s="12"/>
      <c r="H80" s="12" t="s">
        <v>10</v>
      </c>
      <c r="I80" s="14">
        <f>SUM(E80:E81)</f>
        <v>964</v>
      </c>
    </row>
    <row r="81" spans="1:9">
      <c r="A81" s="8">
        <v>45826</v>
      </c>
      <c r="B81" s="12">
        <v>809</v>
      </c>
      <c r="C81" s="13" t="s">
        <v>38</v>
      </c>
      <c r="D81" s="12">
        <v>660</v>
      </c>
      <c r="E81" s="12">
        <v>660</v>
      </c>
      <c r="F81" s="12"/>
      <c r="G81" s="12"/>
      <c r="H81" s="12" t="s">
        <v>10</v>
      </c>
      <c r="I81" s="14"/>
    </row>
    <row r="82" spans="1:9">
      <c r="A82" s="8">
        <v>45827</v>
      </c>
      <c r="B82" s="12">
        <v>840</v>
      </c>
      <c r="C82" s="13" t="s">
        <v>47</v>
      </c>
      <c r="D82" s="12">
        <v>20</v>
      </c>
      <c r="E82" s="12">
        <v>20</v>
      </c>
      <c r="F82" s="12"/>
      <c r="G82" s="12"/>
      <c r="H82" s="12" t="s">
        <v>10</v>
      </c>
      <c r="I82" s="14">
        <f>SUM(E82:E85)</f>
        <v>847</v>
      </c>
    </row>
    <row r="83" spans="1:9">
      <c r="A83" s="8">
        <v>45827</v>
      </c>
      <c r="B83" s="12">
        <v>875</v>
      </c>
      <c r="C83" s="13" t="s">
        <v>42</v>
      </c>
      <c r="D83" s="12">
        <v>213</v>
      </c>
      <c r="E83" s="12">
        <v>213</v>
      </c>
      <c r="F83" s="12"/>
      <c r="G83" s="12"/>
      <c r="H83" s="12" t="s">
        <v>10</v>
      </c>
      <c r="I83" s="14"/>
    </row>
    <row r="84" spans="1:9">
      <c r="A84" s="8">
        <v>45827</v>
      </c>
      <c r="B84" s="12">
        <v>817</v>
      </c>
      <c r="C84" s="13" t="s">
        <v>36</v>
      </c>
      <c r="D84" s="12">
        <v>544</v>
      </c>
      <c r="E84" s="12">
        <v>544</v>
      </c>
      <c r="F84" s="12"/>
      <c r="G84" s="12"/>
      <c r="H84" s="12" t="s">
        <v>10</v>
      </c>
      <c r="I84" s="14"/>
    </row>
    <row r="85" spans="1:9">
      <c r="A85" s="8">
        <v>45827</v>
      </c>
      <c r="B85" s="12">
        <v>875</v>
      </c>
      <c r="C85" s="13" t="s">
        <v>42</v>
      </c>
      <c r="D85" s="12">
        <v>70</v>
      </c>
      <c r="E85" s="12">
        <v>70</v>
      </c>
      <c r="F85" s="12"/>
      <c r="G85" s="12"/>
      <c r="H85" s="12" t="s">
        <v>10</v>
      </c>
      <c r="I85" s="14"/>
    </row>
    <row r="86" spans="1:9">
      <c r="A86" s="8">
        <v>45828</v>
      </c>
      <c r="B86" s="12">
        <v>809</v>
      </c>
      <c r="C86" s="13" t="s">
        <v>38</v>
      </c>
      <c r="D86" s="12">
        <v>153</v>
      </c>
      <c r="E86" s="12">
        <v>153</v>
      </c>
      <c r="F86" s="12"/>
      <c r="G86" s="12"/>
      <c r="H86" s="12" t="s">
        <v>10</v>
      </c>
      <c r="I86" s="14">
        <f>SUM(E86:E90)</f>
        <v>348</v>
      </c>
    </row>
    <row r="87" spans="1:9">
      <c r="A87" s="8">
        <v>45828</v>
      </c>
      <c r="B87" s="12">
        <v>835</v>
      </c>
      <c r="C87" s="13" t="s">
        <v>64</v>
      </c>
      <c r="D87" s="12">
        <v>12</v>
      </c>
      <c r="E87" s="12">
        <v>12</v>
      </c>
      <c r="F87" s="12"/>
      <c r="G87" s="12"/>
      <c r="H87" s="12" t="s">
        <v>10</v>
      </c>
      <c r="I87" s="14"/>
    </row>
    <row r="88" spans="1:9">
      <c r="A88" s="8">
        <v>45828</v>
      </c>
      <c r="B88" s="12">
        <v>613</v>
      </c>
      <c r="C88" s="13" t="s">
        <v>39</v>
      </c>
      <c r="D88" s="12">
        <v>10</v>
      </c>
      <c r="E88" s="12">
        <v>10</v>
      </c>
      <c r="F88" s="12"/>
      <c r="G88" s="12"/>
      <c r="H88" s="12" t="s">
        <v>10</v>
      </c>
      <c r="I88" s="14"/>
    </row>
    <row r="89" spans="1:9">
      <c r="A89" s="8">
        <v>45828</v>
      </c>
      <c r="B89" s="12">
        <v>609</v>
      </c>
      <c r="C89" s="13" t="s">
        <v>33</v>
      </c>
      <c r="D89" s="12">
        <v>44</v>
      </c>
      <c r="E89" s="12">
        <v>44</v>
      </c>
      <c r="F89" s="12"/>
      <c r="G89" s="12"/>
      <c r="H89" s="12" t="s">
        <v>10</v>
      </c>
      <c r="I89" s="14"/>
    </row>
    <row r="90" spans="1:9">
      <c r="A90" s="8">
        <v>45828</v>
      </c>
      <c r="B90" s="12">
        <v>880</v>
      </c>
      <c r="C90" s="13" t="s">
        <v>32</v>
      </c>
      <c r="D90" s="12">
        <v>129</v>
      </c>
      <c r="E90" s="12">
        <v>129</v>
      </c>
      <c r="F90" s="12"/>
      <c r="G90" s="12"/>
      <c r="H90" s="12" t="s">
        <v>10</v>
      </c>
      <c r="I90" s="14"/>
    </row>
    <row r="91" spans="1:9">
      <c r="A91" s="8">
        <v>45829</v>
      </c>
      <c r="B91" s="12">
        <v>871</v>
      </c>
      <c r="C91" s="13" t="s">
        <v>63</v>
      </c>
      <c r="D91" s="12">
        <v>52</v>
      </c>
      <c r="E91" s="12">
        <v>52</v>
      </c>
      <c r="F91" s="12"/>
      <c r="G91" s="12"/>
      <c r="H91" s="12" t="s">
        <v>10</v>
      </c>
      <c r="I91" s="14">
        <f>SUM(E91:E101)</f>
        <v>944</v>
      </c>
    </row>
    <row r="92" spans="1:9">
      <c r="A92" s="8">
        <v>45829</v>
      </c>
      <c r="B92" s="12">
        <v>613</v>
      </c>
      <c r="C92" s="13" t="s">
        <v>39</v>
      </c>
      <c r="D92" s="12">
        <v>50</v>
      </c>
      <c r="E92" s="12">
        <v>50</v>
      </c>
      <c r="F92" s="12"/>
      <c r="G92" s="12"/>
      <c r="H92" s="12" t="s">
        <v>10</v>
      </c>
      <c r="I92" s="14"/>
    </row>
    <row r="93" spans="1:9">
      <c r="A93" s="8">
        <v>45829</v>
      </c>
      <c r="B93" s="12">
        <v>840</v>
      </c>
      <c r="C93" s="13" t="s">
        <v>47</v>
      </c>
      <c r="D93" s="12">
        <v>183</v>
      </c>
      <c r="E93" s="12">
        <v>183</v>
      </c>
      <c r="F93" s="12"/>
      <c r="G93" s="12"/>
      <c r="H93" s="12" t="s">
        <v>10</v>
      </c>
      <c r="I93" s="14"/>
    </row>
    <row r="94" spans="1:9">
      <c r="A94" s="8">
        <v>45829</v>
      </c>
      <c r="B94" s="12">
        <v>875</v>
      </c>
      <c r="C94" s="13" t="s">
        <v>42</v>
      </c>
      <c r="D94" s="12">
        <v>66</v>
      </c>
      <c r="E94" s="12">
        <v>66</v>
      </c>
      <c r="F94" s="12"/>
      <c r="G94" s="12"/>
      <c r="H94" s="12" t="s">
        <v>10</v>
      </c>
      <c r="I94" s="14"/>
    </row>
    <row r="95" spans="1:9">
      <c r="A95" s="8">
        <v>45829</v>
      </c>
      <c r="B95" s="12">
        <v>818</v>
      </c>
      <c r="C95" s="13" t="s">
        <v>37</v>
      </c>
      <c r="D95" s="12">
        <v>262</v>
      </c>
      <c r="E95" s="12">
        <v>262</v>
      </c>
      <c r="F95" s="12"/>
      <c r="G95" s="12"/>
      <c r="H95" s="12" t="s">
        <v>10</v>
      </c>
      <c r="I95" s="14"/>
    </row>
    <row r="96" spans="1:9">
      <c r="A96" s="8">
        <v>45829</v>
      </c>
      <c r="B96" s="12">
        <v>817</v>
      </c>
      <c r="C96" s="13" t="s">
        <v>36</v>
      </c>
      <c r="D96" s="12">
        <v>34</v>
      </c>
      <c r="E96" s="12">
        <v>34</v>
      </c>
      <c r="F96" s="12"/>
      <c r="G96" s="12"/>
      <c r="H96" s="12" t="s">
        <v>10</v>
      </c>
      <c r="I96" s="14"/>
    </row>
    <row r="97" spans="1:9">
      <c r="A97" s="8">
        <v>45829</v>
      </c>
      <c r="B97" s="12">
        <v>835</v>
      </c>
      <c r="C97" s="13" t="s">
        <v>64</v>
      </c>
      <c r="D97" s="12">
        <v>150</v>
      </c>
      <c r="E97" s="12">
        <v>150</v>
      </c>
      <c r="F97" s="12"/>
      <c r="G97" s="12"/>
      <c r="H97" s="12" t="s">
        <v>10</v>
      </c>
      <c r="I97" s="14"/>
    </row>
    <row r="98" spans="1:9">
      <c r="A98" s="8">
        <v>45829</v>
      </c>
      <c r="B98" s="12">
        <v>837</v>
      </c>
      <c r="C98" s="13" t="s">
        <v>40</v>
      </c>
      <c r="D98" s="12">
        <v>86</v>
      </c>
      <c r="E98" s="12">
        <v>86</v>
      </c>
      <c r="F98" s="12"/>
      <c r="G98" s="12"/>
      <c r="H98" s="12" t="s">
        <v>10</v>
      </c>
      <c r="I98" s="14"/>
    </row>
    <row r="99" spans="1:9">
      <c r="A99" s="8">
        <v>45829</v>
      </c>
      <c r="B99" s="12">
        <v>838</v>
      </c>
      <c r="C99" s="13" t="s">
        <v>41</v>
      </c>
      <c r="D99" s="12">
        <v>10</v>
      </c>
      <c r="E99" s="12">
        <v>10</v>
      </c>
      <c r="F99" s="12"/>
      <c r="G99" s="12"/>
      <c r="H99" s="12" t="s">
        <v>10</v>
      </c>
      <c r="I99" s="14"/>
    </row>
    <row r="100" spans="1:9">
      <c r="A100" s="8">
        <v>45829</v>
      </c>
      <c r="B100" s="12">
        <v>871</v>
      </c>
      <c r="C100" s="13" t="s">
        <v>63</v>
      </c>
      <c r="D100" s="12">
        <v>20</v>
      </c>
      <c r="E100" s="12">
        <v>20</v>
      </c>
      <c r="F100" s="12"/>
      <c r="G100" s="12"/>
      <c r="H100" s="12" t="s">
        <v>10</v>
      </c>
      <c r="I100" s="14"/>
    </row>
    <row r="101" spans="1:9">
      <c r="A101" s="8">
        <v>45829</v>
      </c>
      <c r="B101" s="12">
        <v>840</v>
      </c>
      <c r="C101" s="13" t="s">
        <v>47</v>
      </c>
      <c r="D101" s="12">
        <v>31</v>
      </c>
      <c r="E101" s="12">
        <v>31</v>
      </c>
      <c r="F101" s="12"/>
      <c r="G101" s="12"/>
      <c r="H101" s="12" t="s">
        <v>10</v>
      </c>
      <c r="I101" s="14"/>
    </row>
    <row r="102" spans="1:9">
      <c r="A102" s="8">
        <v>45832</v>
      </c>
      <c r="B102" s="12">
        <v>840</v>
      </c>
      <c r="C102" s="13" t="s">
        <v>47</v>
      </c>
      <c r="D102" s="12">
        <v>144</v>
      </c>
      <c r="E102" s="12">
        <v>144</v>
      </c>
      <c r="F102" s="12"/>
      <c r="G102" s="12"/>
      <c r="H102" s="12" t="s">
        <v>10</v>
      </c>
      <c r="I102" s="14">
        <f>SUM(E102:E107)</f>
        <v>972</v>
      </c>
    </row>
    <row r="103" spans="1:9">
      <c r="A103" s="8">
        <v>45832</v>
      </c>
      <c r="B103" s="12">
        <v>835</v>
      </c>
      <c r="C103" s="13" t="s">
        <v>64</v>
      </c>
      <c r="D103" s="12">
        <v>52</v>
      </c>
      <c r="E103" s="12">
        <v>52</v>
      </c>
      <c r="F103" s="12"/>
      <c r="G103" s="12"/>
      <c r="H103" s="12" t="s">
        <v>10</v>
      </c>
      <c r="I103" s="14"/>
    </row>
    <row r="104" spans="1:9">
      <c r="A104" s="8">
        <v>45832</v>
      </c>
      <c r="B104" s="12">
        <v>838</v>
      </c>
      <c r="C104" s="13" t="s">
        <v>41</v>
      </c>
      <c r="D104" s="12">
        <v>76</v>
      </c>
      <c r="E104" s="12">
        <v>76</v>
      </c>
      <c r="F104" s="12"/>
      <c r="G104" s="12"/>
      <c r="H104" s="12" t="s">
        <v>10</v>
      </c>
      <c r="I104" s="14"/>
    </row>
    <row r="105" spans="1:9">
      <c r="A105" s="8">
        <v>45832</v>
      </c>
      <c r="B105" s="12">
        <v>840</v>
      </c>
      <c r="C105" s="13" t="s">
        <v>47</v>
      </c>
      <c r="D105" s="12">
        <v>84</v>
      </c>
      <c r="E105" s="12">
        <v>84</v>
      </c>
      <c r="F105" s="12"/>
      <c r="G105" s="12"/>
      <c r="H105" s="12" t="s">
        <v>10</v>
      </c>
      <c r="I105" s="14"/>
    </row>
    <row r="106" spans="1:9">
      <c r="A106" s="8">
        <v>45832</v>
      </c>
      <c r="B106" s="12">
        <v>1875</v>
      </c>
      <c r="C106" s="13" t="s">
        <v>137</v>
      </c>
      <c r="D106" s="12">
        <v>308</v>
      </c>
      <c r="E106" s="12">
        <v>308</v>
      </c>
      <c r="F106" s="12"/>
      <c r="G106" s="12"/>
      <c r="H106" s="12" t="s">
        <v>10</v>
      </c>
      <c r="I106" s="14"/>
    </row>
    <row r="107" spans="1:9">
      <c r="A107" s="8">
        <v>45832</v>
      </c>
      <c r="B107" s="12">
        <v>9875</v>
      </c>
      <c r="C107" s="13" t="s">
        <v>43</v>
      </c>
      <c r="D107" s="12">
        <v>308</v>
      </c>
      <c r="E107" s="12">
        <v>308</v>
      </c>
      <c r="F107" s="12"/>
      <c r="G107" s="12"/>
      <c r="H107" s="12" t="s">
        <v>10</v>
      </c>
      <c r="I107" s="14"/>
    </row>
    <row r="108" spans="1:9">
      <c r="A108" s="8">
        <v>45833</v>
      </c>
      <c r="B108" s="12">
        <v>838</v>
      </c>
      <c r="C108" s="13" t="s">
        <v>41</v>
      </c>
      <c r="D108" s="12">
        <v>110</v>
      </c>
      <c r="E108" s="12">
        <v>110</v>
      </c>
      <c r="F108" s="12"/>
      <c r="G108" s="12"/>
      <c r="H108" s="12" t="s">
        <v>10</v>
      </c>
      <c r="I108" s="14">
        <f>SUM(E108:E113)</f>
        <v>656</v>
      </c>
    </row>
    <row r="109" spans="1:9">
      <c r="A109" s="8">
        <v>45833</v>
      </c>
      <c r="B109" s="12">
        <v>835</v>
      </c>
      <c r="C109" s="13" t="s">
        <v>64</v>
      </c>
      <c r="D109" s="12">
        <v>32</v>
      </c>
      <c r="E109" s="12">
        <v>32</v>
      </c>
      <c r="F109" s="12"/>
      <c r="G109" s="12"/>
      <c r="H109" s="12" t="s">
        <v>10</v>
      </c>
      <c r="I109" s="14"/>
    </row>
    <row r="110" spans="1:9">
      <c r="A110" s="8">
        <v>45833</v>
      </c>
      <c r="B110" s="12">
        <v>875</v>
      </c>
      <c r="C110" s="13" t="s">
        <v>42</v>
      </c>
      <c r="D110" s="12">
        <v>28</v>
      </c>
      <c r="E110" s="12">
        <v>28</v>
      </c>
      <c r="F110" s="12"/>
      <c r="G110" s="12"/>
      <c r="H110" s="12" t="s">
        <v>10</v>
      </c>
      <c r="I110" s="14"/>
    </row>
    <row r="111" spans="1:9">
      <c r="A111" s="8">
        <v>45833</v>
      </c>
      <c r="B111" s="12">
        <v>9875</v>
      </c>
      <c r="C111" s="13" t="s">
        <v>43</v>
      </c>
      <c r="D111" s="12">
        <v>220</v>
      </c>
      <c r="E111" s="12">
        <v>220</v>
      </c>
      <c r="F111" s="12"/>
      <c r="G111" s="12"/>
      <c r="H111" s="12" t="s">
        <v>10</v>
      </c>
      <c r="I111" s="14"/>
    </row>
    <row r="112" spans="1:9">
      <c r="A112" s="8">
        <v>45833</v>
      </c>
      <c r="B112" s="12">
        <v>1875</v>
      </c>
      <c r="C112" s="13" t="s">
        <v>137</v>
      </c>
      <c r="D112" s="12">
        <v>220</v>
      </c>
      <c r="E112" s="12">
        <v>220</v>
      </c>
      <c r="F112" s="12"/>
      <c r="G112" s="12"/>
      <c r="H112" s="12" t="s">
        <v>10</v>
      </c>
      <c r="I112" s="14"/>
    </row>
    <row r="113" spans="1:10">
      <c r="A113" s="8">
        <v>45833</v>
      </c>
      <c r="B113" s="15">
        <v>835</v>
      </c>
      <c r="C113" s="16" t="s">
        <v>64</v>
      </c>
      <c r="D113" s="15">
        <v>46</v>
      </c>
      <c r="E113" s="15">
        <v>46</v>
      </c>
      <c r="F113" s="15"/>
      <c r="G113" s="15"/>
      <c r="H113" s="15" t="s">
        <v>10</v>
      </c>
      <c r="I113" s="17"/>
    </row>
    <row r="114" spans="1:10">
      <c r="J114">
        <f>SUM(I2:I113)</f>
        <v>13298</v>
      </c>
    </row>
  </sheetData>
  <mergeCells count="17">
    <mergeCell ref="I2:I7"/>
    <mergeCell ref="I8:I11"/>
    <mergeCell ref="I12:I19"/>
    <mergeCell ref="I20:I25"/>
    <mergeCell ref="I26:I34"/>
    <mergeCell ref="I35:I40"/>
    <mergeCell ref="I41:I45"/>
    <mergeCell ref="I46:I54"/>
    <mergeCell ref="I55:I61"/>
    <mergeCell ref="I62:I71"/>
    <mergeCell ref="I72:I79"/>
    <mergeCell ref="I80:I81"/>
    <mergeCell ref="I82:I85"/>
    <mergeCell ref="I86:I90"/>
    <mergeCell ref="I91:I101"/>
    <mergeCell ref="I102:I107"/>
    <mergeCell ref="I108:I11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2"/>
  <sheetViews>
    <sheetView zoomScale="87" zoomScaleNormal="87" workbookViewId="0">
      <pane ySplit="1" topLeftCell="A182" activePane="bottomLeft" state="frozen"/>
      <selection/>
      <selection pane="bottomLeft" activeCell="A16" sqref="A16"/>
    </sheetView>
  </sheetViews>
  <sheetFormatPr defaultColWidth="10" defaultRowHeight="13.5"/>
  <cols>
    <col min="1" max="1" width="7.275" style="1" customWidth="1"/>
    <col min="2" max="2" width="5.10833333333333" style="1" customWidth="1"/>
    <col min="3" max="3" width="6.10833333333333" style="2" customWidth="1"/>
    <col min="4" max="7" width="9.21666666666667" style="1" customWidth="1"/>
    <col min="8" max="8" width="5.10833333333333" style="1" customWidth="1"/>
    <col min="9" max="9" width="5.21666666666667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45780</v>
      </c>
      <c r="B2" s="9">
        <v>871</v>
      </c>
      <c r="C2" s="10" t="s">
        <v>63</v>
      </c>
      <c r="D2" s="9">
        <v>324</v>
      </c>
      <c r="E2" s="9">
        <v>324</v>
      </c>
      <c r="F2" s="9"/>
      <c r="G2" s="9"/>
      <c r="H2" s="9" t="s">
        <v>10</v>
      </c>
      <c r="I2" s="11">
        <f>SUM(E2:E11)</f>
        <v>2900</v>
      </c>
    </row>
    <row r="3" spans="1:16">
      <c r="A3" s="8">
        <v>45780</v>
      </c>
      <c r="B3" s="12">
        <v>809</v>
      </c>
      <c r="C3" s="13" t="s">
        <v>38</v>
      </c>
      <c r="D3" s="12">
        <v>288</v>
      </c>
      <c r="E3" s="12">
        <v>288</v>
      </c>
      <c r="F3" s="12"/>
      <c r="G3" s="12"/>
      <c r="H3" s="12" t="s">
        <v>10</v>
      </c>
      <c r="I3" s="14"/>
    </row>
    <row r="4" spans="1:16">
      <c r="A4" s="8">
        <v>45780</v>
      </c>
      <c r="B4" s="12">
        <v>885</v>
      </c>
      <c r="C4" s="13" t="s">
        <v>48</v>
      </c>
      <c r="D4" s="12">
        <v>180</v>
      </c>
      <c r="E4" s="12">
        <v>180</v>
      </c>
      <c r="F4" s="12"/>
      <c r="G4" s="12"/>
      <c r="H4" s="12" t="s">
        <v>10</v>
      </c>
      <c r="I4" s="14"/>
    </row>
    <row r="5" spans="1:16">
      <c r="A5" s="8">
        <v>45780</v>
      </c>
      <c r="B5" s="12">
        <v>827</v>
      </c>
      <c r="C5" s="13" t="s">
        <v>50</v>
      </c>
      <c r="D5" s="12">
        <v>174</v>
      </c>
      <c r="E5" s="12">
        <v>174</v>
      </c>
      <c r="F5" s="12"/>
      <c r="G5" s="12"/>
      <c r="H5" s="12" t="s">
        <v>10</v>
      </c>
      <c r="I5" s="14"/>
    </row>
    <row r="6" spans="1:16">
      <c r="A6" s="8">
        <v>45780</v>
      </c>
      <c r="B6" s="12">
        <v>836</v>
      </c>
      <c r="C6" s="13" t="s">
        <v>136</v>
      </c>
      <c r="D6" s="12">
        <v>560</v>
      </c>
      <c r="E6" s="12">
        <v>560</v>
      </c>
      <c r="F6" s="12"/>
      <c r="G6" s="12"/>
      <c r="H6" s="12" t="s">
        <v>10</v>
      </c>
      <c r="I6" s="14"/>
    </row>
    <row r="7" spans="1:16">
      <c r="A7" s="8">
        <v>45780</v>
      </c>
      <c r="B7" s="12">
        <v>835</v>
      </c>
      <c r="C7" s="13" t="s">
        <v>64</v>
      </c>
      <c r="D7" s="12">
        <v>528</v>
      </c>
      <c r="E7" s="12">
        <v>528</v>
      </c>
      <c r="F7" s="12"/>
      <c r="G7" s="12"/>
      <c r="H7" s="12" t="s">
        <v>10</v>
      </c>
      <c r="I7" s="14"/>
    </row>
    <row r="8" spans="1:16">
      <c r="A8" s="8">
        <v>45780</v>
      </c>
      <c r="B8" s="12">
        <v>818</v>
      </c>
      <c r="C8" s="13" t="s">
        <v>37</v>
      </c>
      <c r="D8" s="12">
        <v>192</v>
      </c>
      <c r="E8" s="12">
        <v>192</v>
      </c>
      <c r="F8" s="12"/>
      <c r="G8" s="12"/>
      <c r="H8" s="12" t="s">
        <v>10</v>
      </c>
      <c r="I8" s="14"/>
    </row>
    <row r="9" spans="1:16">
      <c r="A9" s="8">
        <v>45780</v>
      </c>
      <c r="B9" s="12">
        <v>609</v>
      </c>
      <c r="C9" s="13" t="s">
        <v>33</v>
      </c>
      <c r="D9" s="12">
        <v>153</v>
      </c>
      <c r="E9" s="12">
        <v>153</v>
      </c>
      <c r="F9" s="12"/>
      <c r="G9" s="12"/>
      <c r="H9" s="12" t="s">
        <v>10</v>
      </c>
      <c r="I9" s="14"/>
    </row>
    <row r="10" spans="1:16">
      <c r="A10" s="8">
        <v>45780</v>
      </c>
      <c r="B10" s="12">
        <v>875</v>
      </c>
      <c r="C10" s="13" t="s">
        <v>42</v>
      </c>
      <c r="D10" s="12">
        <v>348</v>
      </c>
      <c r="E10" s="12">
        <v>348</v>
      </c>
      <c r="F10" s="12"/>
      <c r="G10" s="12"/>
      <c r="H10" s="12" t="s">
        <v>10</v>
      </c>
      <c r="I10" s="14"/>
    </row>
    <row r="11" spans="1:16">
      <c r="A11" s="8">
        <v>45780</v>
      </c>
      <c r="B11" s="15">
        <v>807</v>
      </c>
      <c r="C11" s="16" t="s">
        <v>52</v>
      </c>
      <c r="D11" s="15">
        <v>153</v>
      </c>
      <c r="E11" s="15">
        <v>153</v>
      </c>
      <c r="F11" s="15"/>
      <c r="G11" s="15"/>
      <c r="H11" s="15" t="s">
        <v>10</v>
      </c>
      <c r="I11" s="17"/>
    </row>
    <row r="12" spans="1:16">
      <c r="A12" s="8">
        <v>45781</v>
      </c>
      <c r="B12" s="1">
        <v>609</v>
      </c>
      <c r="C12" s="18" t="s">
        <v>33</v>
      </c>
      <c r="D12" s="1">
        <v>246</v>
      </c>
      <c r="E12" s="1">
        <v>246</v>
      </c>
      <c r="H12" s="15" t="s">
        <v>10</v>
      </c>
      <c r="I12" s="19">
        <f>SUM(E12:E25)</f>
        <v>2313</v>
      </c>
    </row>
    <row r="13" spans="1:16">
      <c r="A13" s="8">
        <v>45781</v>
      </c>
      <c r="B13" s="1">
        <v>880</v>
      </c>
      <c r="C13" s="18" t="s">
        <v>32</v>
      </c>
      <c r="D13" s="1">
        <v>198</v>
      </c>
      <c r="E13" s="1">
        <v>198</v>
      </c>
      <c r="H13" s="15" t="s">
        <v>10</v>
      </c>
      <c r="I13" s="19"/>
    </row>
    <row r="14" spans="1:16">
      <c r="A14" s="8">
        <v>45781</v>
      </c>
      <c r="B14" s="1">
        <v>817</v>
      </c>
      <c r="C14" s="18" t="s">
        <v>36</v>
      </c>
      <c r="D14" s="1">
        <v>120</v>
      </c>
      <c r="E14" s="1">
        <v>120</v>
      </c>
      <c r="H14" s="15" t="s">
        <v>10</v>
      </c>
      <c r="I14" s="19"/>
    </row>
    <row r="15" spans="1:16">
      <c r="A15" s="8">
        <v>45781</v>
      </c>
      <c r="B15" s="1">
        <v>896</v>
      </c>
      <c r="C15" s="18" t="s">
        <v>31</v>
      </c>
      <c r="D15" s="1">
        <v>162</v>
      </c>
      <c r="E15" s="1">
        <v>162</v>
      </c>
      <c r="H15" s="15" t="s">
        <v>10</v>
      </c>
      <c r="I15" s="19"/>
    </row>
    <row r="16" spans="1:16">
      <c r="A16" s="8">
        <v>45781</v>
      </c>
      <c r="B16" s="1">
        <v>809</v>
      </c>
      <c r="C16" s="18" t="s">
        <v>38</v>
      </c>
      <c r="D16" s="1">
        <v>404</v>
      </c>
      <c r="E16" s="1">
        <v>404</v>
      </c>
      <c r="H16" s="15" t="s">
        <v>10</v>
      </c>
      <c r="I16" s="19"/>
    </row>
    <row r="17" spans="1:9">
      <c r="A17" s="8">
        <v>45781</v>
      </c>
      <c r="B17" s="1">
        <v>835</v>
      </c>
      <c r="C17" s="18" t="s">
        <v>64</v>
      </c>
      <c r="D17" s="1">
        <v>60</v>
      </c>
      <c r="E17" s="1">
        <v>60</v>
      </c>
      <c r="H17" s="15" t="s">
        <v>10</v>
      </c>
      <c r="I17" s="19"/>
    </row>
    <row r="18" spans="1:9">
      <c r="A18" s="8">
        <v>45781</v>
      </c>
      <c r="B18" s="1">
        <v>837</v>
      </c>
      <c r="C18" s="18" t="s">
        <v>40</v>
      </c>
      <c r="D18" s="1">
        <v>464</v>
      </c>
      <c r="E18" s="1">
        <v>464</v>
      </c>
      <c r="H18" s="15" t="s">
        <v>10</v>
      </c>
      <c r="I18" s="19"/>
    </row>
    <row r="19" spans="1:9">
      <c r="A19" s="8">
        <v>45781</v>
      </c>
      <c r="B19" s="1">
        <v>613</v>
      </c>
      <c r="C19" s="18" t="s">
        <v>39</v>
      </c>
      <c r="D19" s="1">
        <v>64</v>
      </c>
      <c r="E19" s="1">
        <v>64</v>
      </c>
      <c r="H19" s="15" t="s">
        <v>10</v>
      </c>
      <c r="I19" s="19"/>
    </row>
    <row r="20" spans="1:9">
      <c r="A20" s="8">
        <v>45781</v>
      </c>
      <c r="B20" s="1">
        <v>871</v>
      </c>
      <c r="C20" s="18" t="s">
        <v>63</v>
      </c>
      <c r="D20" s="1">
        <v>54</v>
      </c>
      <c r="E20" s="1">
        <v>54</v>
      </c>
      <c r="H20" s="15" t="s">
        <v>10</v>
      </c>
      <c r="I20" s="19"/>
    </row>
    <row r="21" spans="1:9">
      <c r="A21" s="8">
        <v>45781</v>
      </c>
      <c r="B21" s="1">
        <v>885</v>
      </c>
      <c r="C21" s="18" t="s">
        <v>48</v>
      </c>
      <c r="D21" s="1">
        <v>54</v>
      </c>
      <c r="E21" s="1">
        <v>54</v>
      </c>
      <c r="H21" s="15" t="s">
        <v>10</v>
      </c>
      <c r="I21" s="19"/>
    </row>
    <row r="22" spans="1:9">
      <c r="A22" s="8">
        <v>45781</v>
      </c>
      <c r="B22" s="1">
        <v>836</v>
      </c>
      <c r="C22" s="18" t="s">
        <v>136</v>
      </c>
      <c r="D22" s="1">
        <v>54</v>
      </c>
      <c r="E22" s="1">
        <v>54</v>
      </c>
      <c r="H22" s="15" t="s">
        <v>10</v>
      </c>
      <c r="I22" s="19"/>
    </row>
    <row r="23" spans="1:9">
      <c r="A23" s="8">
        <v>45781</v>
      </c>
      <c r="B23" s="1">
        <v>813</v>
      </c>
      <c r="C23" s="18" t="s">
        <v>49</v>
      </c>
      <c r="D23" s="1">
        <v>148</v>
      </c>
      <c r="E23" s="1">
        <v>148</v>
      </c>
      <c r="H23" s="15" t="s">
        <v>10</v>
      </c>
      <c r="I23" s="19"/>
    </row>
    <row r="24" spans="1:9">
      <c r="A24" s="8">
        <v>45781</v>
      </c>
      <c r="B24" s="1">
        <v>875</v>
      </c>
      <c r="C24" s="18" t="s">
        <v>42</v>
      </c>
      <c r="D24" s="1">
        <v>228</v>
      </c>
      <c r="E24" s="1">
        <v>228</v>
      </c>
      <c r="H24" s="15" t="s">
        <v>10</v>
      </c>
      <c r="I24" s="19"/>
    </row>
    <row r="25" spans="1:9">
      <c r="A25" s="8">
        <v>45781</v>
      </c>
      <c r="B25" s="1">
        <v>807</v>
      </c>
      <c r="C25" s="18" t="s">
        <v>52</v>
      </c>
      <c r="D25" s="1">
        <v>57</v>
      </c>
      <c r="E25" s="1">
        <v>57</v>
      </c>
      <c r="H25" s="15" t="s">
        <v>10</v>
      </c>
      <c r="I25" s="19"/>
    </row>
    <row r="26" spans="1:9">
      <c r="A26" s="8">
        <v>45782</v>
      </c>
      <c r="B26" s="1">
        <v>818</v>
      </c>
      <c r="C26" s="18" t="s">
        <v>37</v>
      </c>
      <c r="D26" s="1">
        <v>513</v>
      </c>
      <c r="E26" s="1">
        <v>513</v>
      </c>
      <c r="H26" s="15" t="s">
        <v>10</v>
      </c>
      <c r="I26" s="19">
        <f>SUM(E26:E33)</f>
        <v>1758</v>
      </c>
    </row>
    <row r="27" spans="1:9">
      <c r="A27" s="8">
        <v>45782</v>
      </c>
      <c r="B27" s="1">
        <v>817</v>
      </c>
      <c r="C27" s="18" t="s">
        <v>36</v>
      </c>
      <c r="D27" s="1">
        <v>228</v>
      </c>
      <c r="E27" s="1">
        <v>228</v>
      </c>
      <c r="H27" s="15" t="s">
        <v>10</v>
      </c>
      <c r="I27" s="19"/>
    </row>
    <row r="28" spans="1:9">
      <c r="A28" s="8">
        <v>45782</v>
      </c>
      <c r="B28" s="1">
        <v>613</v>
      </c>
      <c r="C28" s="18" t="s">
        <v>39</v>
      </c>
      <c r="D28" s="1">
        <v>123</v>
      </c>
      <c r="E28" s="1">
        <v>123</v>
      </c>
      <c r="H28" s="15" t="s">
        <v>10</v>
      </c>
      <c r="I28" s="19"/>
    </row>
    <row r="29" spans="1:9">
      <c r="A29" s="8">
        <v>45782</v>
      </c>
      <c r="B29" s="1">
        <v>836</v>
      </c>
      <c r="C29" s="18" t="s">
        <v>136</v>
      </c>
      <c r="D29" s="1">
        <v>128</v>
      </c>
      <c r="E29" s="1">
        <v>128</v>
      </c>
      <c r="H29" s="15" t="s">
        <v>10</v>
      </c>
      <c r="I29" s="19"/>
    </row>
    <row r="30" spans="1:9">
      <c r="A30" s="8">
        <v>45782</v>
      </c>
      <c r="B30" s="1">
        <v>809</v>
      </c>
      <c r="C30" s="18" t="s">
        <v>38</v>
      </c>
      <c r="D30" s="1">
        <v>252</v>
      </c>
      <c r="E30" s="1">
        <v>252</v>
      </c>
      <c r="H30" s="15" t="s">
        <v>10</v>
      </c>
      <c r="I30" s="19"/>
    </row>
    <row r="31" spans="1:9">
      <c r="A31" s="8">
        <v>45782</v>
      </c>
      <c r="B31" s="1">
        <v>835</v>
      </c>
      <c r="C31" s="18" t="s">
        <v>64</v>
      </c>
      <c r="D31" s="1">
        <v>184</v>
      </c>
      <c r="E31" s="1">
        <v>184</v>
      </c>
      <c r="H31" s="15" t="s">
        <v>10</v>
      </c>
      <c r="I31" s="19"/>
    </row>
    <row r="32" spans="1:9">
      <c r="A32" s="8">
        <v>45782</v>
      </c>
      <c r="B32" s="1">
        <v>875</v>
      </c>
      <c r="C32" s="18" t="s">
        <v>42</v>
      </c>
      <c r="D32" s="1">
        <v>192</v>
      </c>
      <c r="E32" s="1">
        <v>192</v>
      </c>
      <c r="H32" s="15" t="s">
        <v>10</v>
      </c>
      <c r="I32" s="19"/>
    </row>
    <row r="33" spans="1:9">
      <c r="A33" s="8">
        <v>45782</v>
      </c>
      <c r="B33" s="1">
        <v>807</v>
      </c>
      <c r="C33" s="18" t="s">
        <v>52</v>
      </c>
      <c r="D33" s="1">
        <v>138</v>
      </c>
      <c r="E33" s="1">
        <v>138</v>
      </c>
      <c r="H33" s="15" t="s">
        <v>10</v>
      </c>
      <c r="I33" s="19"/>
    </row>
    <row r="34" spans="1:9">
      <c r="A34" s="8">
        <v>45783</v>
      </c>
      <c r="B34" s="1">
        <v>835</v>
      </c>
      <c r="C34" s="18" t="s">
        <v>64</v>
      </c>
      <c r="D34" s="1">
        <v>472</v>
      </c>
      <c r="E34" s="1">
        <v>472</v>
      </c>
      <c r="H34" s="15" t="s">
        <v>10</v>
      </c>
      <c r="I34" s="19">
        <f>SUM(E34:E44)</f>
        <v>2689</v>
      </c>
    </row>
    <row r="35" spans="1:9">
      <c r="A35" s="8">
        <v>45783</v>
      </c>
      <c r="B35" s="1">
        <v>809</v>
      </c>
      <c r="C35" s="18" t="s">
        <v>38</v>
      </c>
      <c r="D35" s="1">
        <v>336</v>
      </c>
      <c r="E35" s="1">
        <v>336</v>
      </c>
      <c r="H35" s="15" t="s">
        <v>10</v>
      </c>
      <c r="I35" s="19"/>
    </row>
    <row r="36" spans="1:9">
      <c r="A36" s="8">
        <v>45783</v>
      </c>
      <c r="B36" s="1">
        <v>613</v>
      </c>
      <c r="C36" s="18" t="s">
        <v>39</v>
      </c>
      <c r="D36" s="1">
        <v>328</v>
      </c>
      <c r="E36" s="1">
        <v>328</v>
      </c>
      <c r="H36" s="15" t="s">
        <v>10</v>
      </c>
      <c r="I36" s="19"/>
    </row>
    <row r="37" spans="1:9">
      <c r="A37" s="8">
        <v>45783</v>
      </c>
      <c r="B37" s="1">
        <v>885</v>
      </c>
      <c r="C37" s="18" t="s">
        <v>48</v>
      </c>
      <c r="D37" s="1">
        <v>296</v>
      </c>
      <c r="E37" s="1">
        <v>296</v>
      </c>
      <c r="H37" s="15" t="s">
        <v>10</v>
      </c>
      <c r="I37" s="19"/>
    </row>
    <row r="38" spans="1:9">
      <c r="A38" s="8">
        <v>45783</v>
      </c>
      <c r="B38" s="1">
        <v>888</v>
      </c>
      <c r="C38" s="18" t="s">
        <v>135</v>
      </c>
      <c r="D38" s="1">
        <v>168</v>
      </c>
      <c r="E38" s="1">
        <v>168</v>
      </c>
      <c r="H38" s="15" t="s">
        <v>10</v>
      </c>
      <c r="I38" s="19"/>
    </row>
    <row r="39" spans="1:9">
      <c r="A39" s="8">
        <v>45783</v>
      </c>
      <c r="B39" s="1">
        <v>813</v>
      </c>
      <c r="C39" s="18" t="s">
        <v>49</v>
      </c>
      <c r="D39" s="1">
        <v>6</v>
      </c>
      <c r="E39" s="1">
        <v>6</v>
      </c>
      <c r="H39" s="15" t="s">
        <v>10</v>
      </c>
      <c r="I39" s="19"/>
    </row>
    <row r="40" spans="1:9">
      <c r="A40" s="8">
        <v>45783</v>
      </c>
      <c r="B40" s="1">
        <v>609</v>
      </c>
      <c r="C40" s="18" t="s">
        <v>33</v>
      </c>
      <c r="D40" s="1">
        <v>174</v>
      </c>
      <c r="E40" s="1">
        <v>174</v>
      </c>
      <c r="H40" s="15" t="s">
        <v>10</v>
      </c>
      <c r="I40" s="19"/>
    </row>
    <row r="41" spans="1:9">
      <c r="A41" s="8">
        <v>45783</v>
      </c>
      <c r="B41" s="1">
        <v>887</v>
      </c>
      <c r="C41" s="18" t="s">
        <v>138</v>
      </c>
      <c r="D41" s="1">
        <v>108</v>
      </c>
      <c r="E41" s="1">
        <v>108</v>
      </c>
      <c r="H41" s="15" t="s">
        <v>10</v>
      </c>
      <c r="I41" s="19"/>
    </row>
    <row r="42" spans="1:9">
      <c r="A42" s="8">
        <v>45783</v>
      </c>
      <c r="B42" s="1">
        <v>899</v>
      </c>
      <c r="C42" s="18" t="s">
        <v>134</v>
      </c>
      <c r="D42" s="1">
        <v>42</v>
      </c>
      <c r="E42" s="1">
        <v>42</v>
      </c>
      <c r="H42" s="15" t="s">
        <v>10</v>
      </c>
      <c r="I42" s="19"/>
    </row>
    <row r="43" spans="1:9">
      <c r="A43" s="8">
        <v>45783</v>
      </c>
      <c r="B43" s="1">
        <v>875</v>
      </c>
      <c r="C43" s="18" t="s">
        <v>42</v>
      </c>
      <c r="D43" s="1">
        <v>411</v>
      </c>
      <c r="E43" s="1">
        <v>411</v>
      </c>
      <c r="H43" s="15" t="s">
        <v>10</v>
      </c>
      <c r="I43" s="19"/>
    </row>
    <row r="44" spans="1:9">
      <c r="A44" s="8">
        <v>45783</v>
      </c>
      <c r="B44" s="1">
        <v>838</v>
      </c>
      <c r="C44" s="18" t="s">
        <v>41</v>
      </c>
      <c r="D44" s="1">
        <v>348</v>
      </c>
      <c r="E44" s="1">
        <v>348</v>
      </c>
      <c r="H44" s="15" t="s">
        <v>10</v>
      </c>
      <c r="I44" s="19"/>
    </row>
    <row r="45" spans="1:9">
      <c r="A45" s="8">
        <v>45784</v>
      </c>
      <c r="B45" s="1">
        <v>837</v>
      </c>
      <c r="C45" s="18" t="s">
        <v>40</v>
      </c>
      <c r="D45" s="1">
        <v>404</v>
      </c>
      <c r="E45" s="1">
        <v>404</v>
      </c>
      <c r="H45" s="15" t="s">
        <v>10</v>
      </c>
      <c r="I45" s="19">
        <f>SUM(E45:E54)</f>
        <v>1862</v>
      </c>
    </row>
    <row r="46" spans="1:9">
      <c r="A46" s="8">
        <v>45784</v>
      </c>
      <c r="B46" s="1">
        <v>809</v>
      </c>
      <c r="C46" s="18" t="s">
        <v>38</v>
      </c>
      <c r="D46" s="1">
        <v>436</v>
      </c>
      <c r="E46" s="1">
        <v>436</v>
      </c>
      <c r="H46" s="15" t="s">
        <v>10</v>
      </c>
      <c r="I46" s="19"/>
    </row>
    <row r="47" spans="1:9">
      <c r="A47" s="8">
        <v>45784</v>
      </c>
      <c r="B47" s="1">
        <v>885</v>
      </c>
      <c r="C47" s="18" t="s">
        <v>48</v>
      </c>
      <c r="D47" s="1">
        <v>216</v>
      </c>
      <c r="E47" s="1">
        <v>216</v>
      </c>
      <c r="H47" s="15" t="s">
        <v>10</v>
      </c>
      <c r="I47" s="19"/>
    </row>
    <row r="48" spans="1:9">
      <c r="A48" s="8">
        <v>45784</v>
      </c>
      <c r="B48" s="1">
        <v>835</v>
      </c>
      <c r="C48" s="18" t="s">
        <v>64</v>
      </c>
      <c r="D48" s="1">
        <v>196</v>
      </c>
      <c r="E48" s="1">
        <v>196</v>
      </c>
      <c r="H48" s="15" t="s">
        <v>10</v>
      </c>
      <c r="I48" s="19"/>
    </row>
    <row r="49" spans="1:9">
      <c r="A49" s="8">
        <v>45784</v>
      </c>
      <c r="B49" s="1">
        <v>896</v>
      </c>
      <c r="C49" s="18" t="s">
        <v>31</v>
      </c>
      <c r="D49" s="1">
        <v>204</v>
      </c>
      <c r="E49" s="1">
        <v>204</v>
      </c>
      <c r="H49" s="15" t="s">
        <v>10</v>
      </c>
      <c r="I49" s="19"/>
    </row>
    <row r="50" spans="1:9">
      <c r="A50" s="8">
        <v>45784</v>
      </c>
      <c r="B50" s="1">
        <v>817</v>
      </c>
      <c r="C50" s="18" t="s">
        <v>36</v>
      </c>
      <c r="D50" s="1">
        <v>213</v>
      </c>
      <c r="E50" s="1">
        <v>213</v>
      </c>
      <c r="H50" s="15" t="s">
        <v>10</v>
      </c>
      <c r="I50" s="19"/>
    </row>
    <row r="51" spans="1:9">
      <c r="A51" s="8">
        <v>45784</v>
      </c>
      <c r="B51" s="1">
        <v>880</v>
      </c>
      <c r="C51" s="18" t="s">
        <v>32</v>
      </c>
      <c r="D51" s="1">
        <v>123</v>
      </c>
      <c r="E51" s="1">
        <v>123</v>
      </c>
      <c r="H51" s="15" t="s">
        <v>10</v>
      </c>
      <c r="I51" s="19"/>
    </row>
    <row r="52" spans="1:9">
      <c r="A52" s="8">
        <v>45784</v>
      </c>
      <c r="B52" s="1">
        <v>838</v>
      </c>
      <c r="C52" s="18" t="s">
        <v>41</v>
      </c>
      <c r="D52" s="1">
        <v>20</v>
      </c>
      <c r="E52" s="1">
        <v>20</v>
      </c>
      <c r="H52" s="15" t="s">
        <v>10</v>
      </c>
      <c r="I52" s="19"/>
    </row>
    <row r="53" spans="1:9">
      <c r="A53" s="8">
        <v>45784</v>
      </c>
      <c r="B53" s="1">
        <v>813</v>
      </c>
      <c r="C53" s="18" t="s">
        <v>49</v>
      </c>
      <c r="D53" s="1">
        <v>25</v>
      </c>
      <c r="E53" s="1">
        <v>25</v>
      </c>
      <c r="H53" s="15" t="s">
        <v>10</v>
      </c>
      <c r="I53" s="19"/>
    </row>
    <row r="54" spans="1:9">
      <c r="A54" s="8">
        <v>45784</v>
      </c>
      <c r="B54" s="1">
        <v>823</v>
      </c>
      <c r="C54" s="18" t="s">
        <v>139</v>
      </c>
      <c r="D54" s="1">
        <v>25</v>
      </c>
      <c r="E54" s="1">
        <v>25</v>
      </c>
      <c r="H54" s="15" t="s">
        <v>10</v>
      </c>
      <c r="I54" s="19"/>
    </row>
    <row r="55" spans="1:9">
      <c r="A55" s="8">
        <v>45785</v>
      </c>
      <c r="B55" s="1">
        <v>827</v>
      </c>
      <c r="C55" s="18" t="s">
        <v>50</v>
      </c>
      <c r="D55" s="1">
        <v>63</v>
      </c>
      <c r="E55" s="1">
        <v>63</v>
      </c>
      <c r="H55" s="15" t="s">
        <v>10</v>
      </c>
      <c r="I55" s="19">
        <f>SUM(E55:E58)</f>
        <v>1054</v>
      </c>
    </row>
    <row r="56" spans="1:9">
      <c r="A56" s="8">
        <v>45785</v>
      </c>
      <c r="B56" s="1">
        <v>609</v>
      </c>
      <c r="C56" s="18" t="s">
        <v>33</v>
      </c>
      <c r="D56" s="1">
        <v>143</v>
      </c>
      <c r="E56" s="1">
        <v>143</v>
      </c>
      <c r="H56" s="15" t="s">
        <v>10</v>
      </c>
      <c r="I56" s="19"/>
    </row>
    <row r="57" spans="1:9">
      <c r="A57" s="8">
        <v>45785</v>
      </c>
      <c r="B57" s="1">
        <v>817</v>
      </c>
      <c r="C57" s="18" t="s">
        <v>36</v>
      </c>
      <c r="D57" s="1">
        <v>192</v>
      </c>
      <c r="E57" s="1">
        <v>192</v>
      </c>
      <c r="H57" s="15" t="s">
        <v>10</v>
      </c>
      <c r="I57" s="19"/>
    </row>
    <row r="58" spans="1:9">
      <c r="A58" s="8">
        <v>45785</v>
      </c>
      <c r="B58" s="1">
        <v>837</v>
      </c>
      <c r="C58" s="18" t="s">
        <v>40</v>
      </c>
      <c r="D58" s="1">
        <v>656</v>
      </c>
      <c r="E58" s="1">
        <v>656</v>
      </c>
      <c r="H58" s="15" t="s">
        <v>10</v>
      </c>
      <c r="I58" s="19"/>
    </row>
    <row r="59" spans="1:9">
      <c r="A59" s="8">
        <v>45786</v>
      </c>
      <c r="B59" s="1">
        <v>809</v>
      </c>
      <c r="C59" s="18" t="s">
        <v>38</v>
      </c>
      <c r="D59" s="1">
        <v>380</v>
      </c>
      <c r="E59" s="1">
        <v>380</v>
      </c>
      <c r="H59" s="15" t="s">
        <v>10</v>
      </c>
      <c r="I59" s="19">
        <f>SUM(E59:E68)</f>
        <v>2003</v>
      </c>
    </row>
    <row r="60" spans="1:9">
      <c r="A60" s="8">
        <v>45786</v>
      </c>
      <c r="B60" s="1">
        <v>837</v>
      </c>
      <c r="C60" s="18" t="s">
        <v>40</v>
      </c>
      <c r="D60" s="1">
        <v>396</v>
      </c>
      <c r="E60" s="1">
        <v>396</v>
      </c>
      <c r="H60" s="15" t="s">
        <v>10</v>
      </c>
      <c r="I60" s="19"/>
    </row>
    <row r="61" spans="1:9">
      <c r="A61" s="8">
        <v>45786</v>
      </c>
      <c r="B61" s="1">
        <v>885</v>
      </c>
      <c r="C61" s="18" t="s">
        <v>48</v>
      </c>
      <c r="D61" s="1">
        <v>240</v>
      </c>
      <c r="E61" s="1">
        <v>240</v>
      </c>
      <c r="H61" s="15" t="s">
        <v>10</v>
      </c>
      <c r="I61" s="19"/>
    </row>
    <row r="62" spans="1:9">
      <c r="A62" s="8">
        <v>45786</v>
      </c>
      <c r="B62" s="1">
        <v>871</v>
      </c>
      <c r="C62" s="18" t="s">
        <v>63</v>
      </c>
      <c r="D62" s="1">
        <v>275</v>
      </c>
      <c r="E62" s="1">
        <v>275</v>
      </c>
      <c r="H62" s="15" t="s">
        <v>10</v>
      </c>
      <c r="I62" s="19"/>
    </row>
    <row r="63" spans="1:9">
      <c r="A63" s="8">
        <v>45786</v>
      </c>
      <c r="B63" s="1">
        <v>836</v>
      </c>
      <c r="C63" s="18" t="s">
        <v>136</v>
      </c>
      <c r="D63" s="1">
        <v>141</v>
      </c>
      <c r="E63" s="1">
        <v>141</v>
      </c>
      <c r="H63" s="15" t="s">
        <v>10</v>
      </c>
      <c r="I63" s="19"/>
    </row>
    <row r="64" spans="1:9">
      <c r="A64" s="8">
        <v>45786</v>
      </c>
      <c r="B64" s="1">
        <v>835</v>
      </c>
      <c r="C64" s="18" t="s">
        <v>64</v>
      </c>
      <c r="D64" s="1">
        <v>124</v>
      </c>
      <c r="E64" s="1">
        <v>124</v>
      </c>
      <c r="H64" s="15" t="s">
        <v>10</v>
      </c>
      <c r="I64" s="19"/>
    </row>
    <row r="65" spans="1:9">
      <c r="A65" s="8">
        <v>45786</v>
      </c>
      <c r="B65" s="1">
        <v>609</v>
      </c>
      <c r="C65" s="18" t="s">
        <v>33</v>
      </c>
      <c r="D65" s="1">
        <v>5</v>
      </c>
      <c r="E65" s="1">
        <v>5</v>
      </c>
      <c r="H65" s="15" t="s">
        <v>10</v>
      </c>
      <c r="I65" s="19"/>
    </row>
    <row r="66" spans="1:9">
      <c r="A66" s="8">
        <v>45786</v>
      </c>
      <c r="B66" s="1">
        <v>813</v>
      </c>
      <c r="C66" s="18" t="s">
        <v>49</v>
      </c>
      <c r="D66" s="1">
        <v>100</v>
      </c>
      <c r="E66" s="1">
        <v>100</v>
      </c>
      <c r="H66" s="15" t="s">
        <v>10</v>
      </c>
      <c r="I66" s="19"/>
    </row>
    <row r="67" spans="1:9">
      <c r="A67" s="8">
        <v>45786</v>
      </c>
      <c r="B67" s="1">
        <v>810</v>
      </c>
      <c r="C67" s="18" t="s">
        <v>34</v>
      </c>
      <c r="D67" s="1">
        <v>108</v>
      </c>
      <c r="E67" s="1">
        <v>108</v>
      </c>
      <c r="H67" s="15" t="s">
        <v>10</v>
      </c>
      <c r="I67" s="19"/>
    </row>
    <row r="68" spans="1:9">
      <c r="A68" s="8">
        <v>45786</v>
      </c>
      <c r="B68" s="1">
        <v>840</v>
      </c>
      <c r="C68" s="18" t="s">
        <v>47</v>
      </c>
      <c r="D68" s="1">
        <v>234</v>
      </c>
      <c r="E68" s="1">
        <v>234</v>
      </c>
      <c r="H68" s="15" t="s">
        <v>10</v>
      </c>
      <c r="I68" s="19"/>
    </row>
    <row r="69" spans="1:9">
      <c r="A69" s="8">
        <v>45787</v>
      </c>
      <c r="B69" s="1">
        <v>827</v>
      </c>
      <c r="C69" s="18" t="s">
        <v>50</v>
      </c>
      <c r="D69" s="1">
        <v>162</v>
      </c>
      <c r="E69" s="1">
        <v>162</v>
      </c>
      <c r="H69" s="15" t="s">
        <v>10</v>
      </c>
      <c r="I69" s="19">
        <f>SUM(E69:E75)</f>
        <v>2407</v>
      </c>
    </row>
    <row r="70" spans="1:9">
      <c r="A70" s="8">
        <v>45787</v>
      </c>
      <c r="B70" s="1">
        <v>809</v>
      </c>
      <c r="C70" s="18" t="s">
        <v>38</v>
      </c>
      <c r="D70" s="1">
        <v>852</v>
      </c>
      <c r="E70" s="1">
        <v>852</v>
      </c>
      <c r="H70" s="15" t="s">
        <v>10</v>
      </c>
      <c r="I70" s="19"/>
    </row>
    <row r="71" spans="1:9">
      <c r="A71" s="8">
        <v>45787</v>
      </c>
      <c r="B71" s="1">
        <v>885</v>
      </c>
      <c r="C71" s="18" t="s">
        <v>48</v>
      </c>
      <c r="D71" s="1">
        <v>372</v>
      </c>
      <c r="E71" s="1">
        <v>372</v>
      </c>
      <c r="H71" s="15" t="s">
        <v>10</v>
      </c>
      <c r="I71" s="19"/>
    </row>
    <row r="72" spans="1:9">
      <c r="A72" s="8">
        <v>45787</v>
      </c>
      <c r="B72" s="1">
        <v>837</v>
      </c>
      <c r="C72" s="18" t="s">
        <v>40</v>
      </c>
      <c r="D72" s="1">
        <v>324</v>
      </c>
      <c r="E72" s="1">
        <v>324</v>
      </c>
      <c r="H72" s="15" t="s">
        <v>10</v>
      </c>
      <c r="I72" s="19"/>
    </row>
    <row r="73" spans="1:9">
      <c r="A73" s="8">
        <v>45787</v>
      </c>
      <c r="B73" s="1">
        <v>835</v>
      </c>
      <c r="C73" s="18" t="s">
        <v>64</v>
      </c>
      <c r="D73" s="1">
        <v>244</v>
      </c>
      <c r="E73" s="1">
        <v>244</v>
      </c>
      <c r="H73" s="15" t="s">
        <v>10</v>
      </c>
      <c r="I73" s="19"/>
    </row>
    <row r="74" spans="1:9">
      <c r="A74" s="8">
        <v>45787</v>
      </c>
      <c r="B74" s="1">
        <v>875</v>
      </c>
      <c r="C74" s="18" t="s">
        <v>42</v>
      </c>
      <c r="D74" s="1">
        <v>360</v>
      </c>
      <c r="E74" s="1">
        <v>360</v>
      </c>
      <c r="H74" s="15" t="s">
        <v>10</v>
      </c>
      <c r="I74" s="19"/>
    </row>
    <row r="75" spans="1:9">
      <c r="A75" s="8">
        <v>45787</v>
      </c>
      <c r="B75" s="1">
        <v>807</v>
      </c>
      <c r="C75" s="18" t="s">
        <v>52</v>
      </c>
      <c r="D75" s="1">
        <v>93</v>
      </c>
      <c r="E75" s="1">
        <v>93</v>
      </c>
      <c r="H75" s="15" t="s">
        <v>10</v>
      </c>
      <c r="I75" s="19"/>
    </row>
    <row r="76" spans="1:9">
      <c r="A76" s="8">
        <v>45789</v>
      </c>
      <c r="B76" s="1">
        <v>835</v>
      </c>
      <c r="C76" s="18" t="s">
        <v>64</v>
      </c>
      <c r="D76" s="1">
        <v>342</v>
      </c>
      <c r="E76" s="1">
        <v>342</v>
      </c>
      <c r="H76" s="15" t="s">
        <v>10</v>
      </c>
      <c r="I76" s="19">
        <f>SUM(E76:E85)</f>
        <v>2778</v>
      </c>
    </row>
    <row r="77" spans="1:9">
      <c r="A77" s="8">
        <v>45789</v>
      </c>
      <c r="B77" s="1">
        <v>613</v>
      </c>
      <c r="C77" s="18" t="s">
        <v>39</v>
      </c>
      <c r="D77" s="1">
        <v>11</v>
      </c>
      <c r="E77" s="1">
        <v>11</v>
      </c>
      <c r="H77" s="15" t="s">
        <v>10</v>
      </c>
      <c r="I77" s="19"/>
    </row>
    <row r="78" spans="1:9">
      <c r="A78" s="8">
        <v>45789</v>
      </c>
      <c r="B78" s="1">
        <v>837</v>
      </c>
      <c r="C78" s="18" t="s">
        <v>40</v>
      </c>
      <c r="D78" s="1">
        <v>233</v>
      </c>
      <c r="E78" s="1">
        <v>233</v>
      </c>
      <c r="H78" s="15" t="s">
        <v>10</v>
      </c>
      <c r="I78" s="19"/>
    </row>
    <row r="79" spans="1:9">
      <c r="A79" s="8">
        <v>45789</v>
      </c>
      <c r="B79" s="1">
        <v>838</v>
      </c>
      <c r="C79" s="18" t="s">
        <v>41</v>
      </c>
      <c r="D79" s="1">
        <v>402</v>
      </c>
      <c r="E79" s="1">
        <v>402</v>
      </c>
      <c r="H79" s="15" t="s">
        <v>10</v>
      </c>
      <c r="I79" s="19"/>
    </row>
    <row r="80" spans="1:9">
      <c r="A80" s="8">
        <v>45789</v>
      </c>
      <c r="B80" s="1">
        <v>827</v>
      </c>
      <c r="C80" s="18" t="s">
        <v>50</v>
      </c>
      <c r="D80" s="1">
        <v>150</v>
      </c>
      <c r="E80" s="1">
        <v>150</v>
      </c>
      <c r="H80" s="15" t="s">
        <v>10</v>
      </c>
      <c r="I80" s="19"/>
    </row>
    <row r="81" spans="1:9">
      <c r="A81" s="8">
        <v>45789</v>
      </c>
      <c r="B81" s="1">
        <v>818</v>
      </c>
      <c r="C81" s="18" t="s">
        <v>37</v>
      </c>
      <c r="D81" s="1">
        <v>468</v>
      </c>
      <c r="E81" s="1">
        <v>468</v>
      </c>
      <c r="H81" s="15" t="s">
        <v>10</v>
      </c>
      <c r="I81" s="19"/>
    </row>
    <row r="82" spans="1:9">
      <c r="A82" s="8">
        <v>45789</v>
      </c>
      <c r="B82" s="1">
        <v>840</v>
      </c>
      <c r="C82" s="18" t="s">
        <v>47</v>
      </c>
      <c r="D82" s="1">
        <v>489</v>
      </c>
      <c r="E82" s="1">
        <v>489</v>
      </c>
      <c r="H82" s="15" t="s">
        <v>10</v>
      </c>
      <c r="I82" s="19"/>
    </row>
    <row r="83" spans="1:9">
      <c r="A83" s="8">
        <v>45789</v>
      </c>
      <c r="B83" s="1">
        <v>896</v>
      </c>
      <c r="C83" s="18" t="s">
        <v>31</v>
      </c>
      <c r="D83" s="1">
        <v>246</v>
      </c>
      <c r="E83" s="1">
        <v>246</v>
      </c>
      <c r="H83" s="15" t="s">
        <v>10</v>
      </c>
      <c r="I83" s="19"/>
    </row>
    <row r="84" spans="1:9">
      <c r="A84" s="8">
        <v>45789</v>
      </c>
      <c r="B84" s="1">
        <v>888</v>
      </c>
      <c r="C84" s="18" t="s">
        <v>135</v>
      </c>
      <c r="D84" s="1">
        <v>165</v>
      </c>
      <c r="E84" s="1">
        <v>165</v>
      </c>
      <c r="H84" s="15" t="s">
        <v>10</v>
      </c>
      <c r="I84" s="19"/>
    </row>
    <row r="85" spans="1:9">
      <c r="A85" s="8">
        <v>45789</v>
      </c>
      <c r="B85" s="1">
        <v>875</v>
      </c>
      <c r="C85" s="18" t="s">
        <v>42</v>
      </c>
      <c r="D85" s="1">
        <v>272</v>
      </c>
      <c r="E85" s="1">
        <v>272</v>
      </c>
      <c r="H85" s="15" t="s">
        <v>10</v>
      </c>
      <c r="I85" s="19"/>
    </row>
    <row r="86" spans="1:9">
      <c r="A86" s="8">
        <v>45790</v>
      </c>
      <c r="B86" s="1">
        <v>840</v>
      </c>
      <c r="C86" s="18" t="s">
        <v>47</v>
      </c>
      <c r="D86" s="1">
        <v>460</v>
      </c>
      <c r="E86" s="1">
        <v>460</v>
      </c>
      <c r="H86" s="15" t="s">
        <v>10</v>
      </c>
      <c r="I86" s="19">
        <f>SUM(E86:E92)</f>
        <v>1798</v>
      </c>
    </row>
    <row r="87" spans="1:9">
      <c r="A87" s="8">
        <v>45790</v>
      </c>
      <c r="B87" s="1">
        <v>838</v>
      </c>
      <c r="C87" s="18" t="s">
        <v>41</v>
      </c>
      <c r="D87" s="1">
        <v>296</v>
      </c>
      <c r="E87" s="1">
        <v>296</v>
      </c>
      <c r="H87" s="15" t="s">
        <v>10</v>
      </c>
      <c r="I87" s="19"/>
    </row>
    <row r="88" spans="1:9">
      <c r="A88" s="8">
        <v>45790</v>
      </c>
      <c r="B88" s="1">
        <v>837</v>
      </c>
      <c r="C88" s="18" t="s">
        <v>40</v>
      </c>
      <c r="D88" s="1">
        <v>344</v>
      </c>
      <c r="E88" s="1">
        <v>344</v>
      </c>
      <c r="H88" s="15" t="s">
        <v>10</v>
      </c>
      <c r="I88" s="19"/>
    </row>
    <row r="89" spans="1:9">
      <c r="A89" s="8">
        <v>45790</v>
      </c>
      <c r="B89" s="1">
        <v>835</v>
      </c>
      <c r="C89" s="18" t="s">
        <v>64</v>
      </c>
      <c r="D89" s="1">
        <v>309</v>
      </c>
      <c r="E89" s="1">
        <v>309</v>
      </c>
      <c r="H89" s="15" t="s">
        <v>10</v>
      </c>
      <c r="I89" s="19"/>
    </row>
    <row r="90" spans="1:9">
      <c r="A90" s="8">
        <v>45790</v>
      </c>
      <c r="B90" s="1">
        <v>871</v>
      </c>
      <c r="C90" s="18" t="s">
        <v>63</v>
      </c>
      <c r="D90" s="1">
        <v>153</v>
      </c>
      <c r="E90" s="1">
        <v>153</v>
      </c>
      <c r="H90" s="15" t="s">
        <v>10</v>
      </c>
      <c r="I90" s="19"/>
    </row>
    <row r="91" spans="1:9">
      <c r="A91" s="8">
        <v>45790</v>
      </c>
      <c r="B91" s="1">
        <v>875</v>
      </c>
      <c r="C91" s="18" t="s">
        <v>42</v>
      </c>
      <c r="D91" s="1">
        <v>216</v>
      </c>
      <c r="E91" s="1">
        <v>216</v>
      </c>
      <c r="H91" s="15" t="s">
        <v>10</v>
      </c>
      <c r="I91" s="19"/>
    </row>
    <row r="92" spans="1:9">
      <c r="A92" s="8">
        <v>45790</v>
      </c>
      <c r="B92" s="1">
        <v>899</v>
      </c>
      <c r="C92" s="18" t="s">
        <v>134</v>
      </c>
      <c r="D92" s="1">
        <v>20</v>
      </c>
      <c r="E92" s="1">
        <v>20</v>
      </c>
      <c r="H92" s="15" t="s">
        <v>10</v>
      </c>
      <c r="I92" s="19"/>
    </row>
    <row r="93" spans="1:9">
      <c r="A93" s="8">
        <v>45791</v>
      </c>
      <c r="B93" s="1">
        <v>838</v>
      </c>
      <c r="C93" s="18" t="s">
        <v>41</v>
      </c>
      <c r="D93" s="1">
        <v>604</v>
      </c>
      <c r="E93" s="1">
        <v>604</v>
      </c>
      <c r="H93" s="15" t="s">
        <v>10</v>
      </c>
      <c r="I93" s="19">
        <f>SUM(E93:E98)</f>
        <v>1887</v>
      </c>
    </row>
    <row r="94" spans="1:9">
      <c r="A94" s="8">
        <v>45791</v>
      </c>
      <c r="B94" s="1">
        <v>835</v>
      </c>
      <c r="C94" s="18" t="s">
        <v>64</v>
      </c>
      <c r="D94" s="1">
        <v>240</v>
      </c>
      <c r="E94" s="1">
        <v>240</v>
      </c>
      <c r="H94" s="15" t="s">
        <v>10</v>
      </c>
      <c r="I94" s="19"/>
    </row>
    <row r="95" spans="1:9">
      <c r="A95" s="8">
        <v>45791</v>
      </c>
      <c r="B95" s="1">
        <v>837</v>
      </c>
      <c r="C95" s="18" t="s">
        <v>40</v>
      </c>
      <c r="D95" s="1">
        <v>234</v>
      </c>
      <c r="E95" s="1">
        <v>234</v>
      </c>
      <c r="H95" s="15" t="s">
        <v>10</v>
      </c>
      <c r="I95" s="19"/>
    </row>
    <row r="96" spans="1:9">
      <c r="A96" s="8">
        <v>45791</v>
      </c>
      <c r="B96" s="1">
        <v>836</v>
      </c>
      <c r="C96" s="18" t="s">
        <v>136</v>
      </c>
      <c r="D96" s="1">
        <v>123</v>
      </c>
      <c r="E96" s="1">
        <v>123</v>
      </c>
      <c r="H96" s="15" t="s">
        <v>10</v>
      </c>
      <c r="I96" s="19"/>
    </row>
    <row r="97" spans="1:9">
      <c r="A97" s="8">
        <v>45791</v>
      </c>
      <c r="B97" s="1">
        <v>813</v>
      </c>
      <c r="C97" s="18" t="s">
        <v>49</v>
      </c>
      <c r="D97" s="1">
        <v>110</v>
      </c>
      <c r="E97" s="1">
        <v>110</v>
      </c>
      <c r="H97" s="15" t="s">
        <v>10</v>
      </c>
      <c r="I97" s="19"/>
    </row>
    <row r="98" spans="1:9">
      <c r="A98" s="8">
        <v>45791</v>
      </c>
      <c r="B98" s="1">
        <v>840</v>
      </c>
      <c r="C98" s="18" t="s">
        <v>47</v>
      </c>
      <c r="D98" s="1">
        <v>576</v>
      </c>
      <c r="E98" s="1">
        <v>576</v>
      </c>
      <c r="H98" s="15" t="s">
        <v>10</v>
      </c>
      <c r="I98" s="19"/>
    </row>
    <row r="99" spans="1:9">
      <c r="A99" s="8">
        <v>45792</v>
      </c>
      <c r="B99" s="1">
        <v>875</v>
      </c>
      <c r="C99" s="18" t="s">
        <v>42</v>
      </c>
      <c r="D99" s="1">
        <v>408</v>
      </c>
      <c r="E99" s="1">
        <v>408</v>
      </c>
      <c r="H99" s="15" t="s">
        <v>10</v>
      </c>
      <c r="I99" s="19">
        <f>SUM(E99:E101)</f>
        <v>1380</v>
      </c>
    </row>
    <row r="100" spans="1:9">
      <c r="A100" s="8">
        <v>45792</v>
      </c>
      <c r="B100" s="1">
        <v>838</v>
      </c>
      <c r="C100" s="18" t="s">
        <v>41</v>
      </c>
      <c r="D100" s="1">
        <v>488</v>
      </c>
      <c r="E100" s="1">
        <v>488</v>
      </c>
      <c r="H100" s="15" t="s">
        <v>10</v>
      </c>
      <c r="I100" s="19"/>
    </row>
    <row r="101" spans="1:9">
      <c r="A101" s="8">
        <v>45792</v>
      </c>
      <c r="B101" s="1">
        <v>840</v>
      </c>
      <c r="C101" s="18" t="s">
        <v>47</v>
      </c>
      <c r="D101" s="1">
        <v>484</v>
      </c>
      <c r="E101" s="1">
        <v>484</v>
      </c>
      <c r="H101" s="15" t="s">
        <v>10</v>
      </c>
      <c r="I101" s="19"/>
    </row>
    <row r="102" spans="1:9">
      <c r="A102" s="8">
        <v>45793</v>
      </c>
      <c r="B102" s="1">
        <v>838</v>
      </c>
      <c r="C102" s="18" t="s">
        <v>41</v>
      </c>
      <c r="D102" s="1">
        <v>366</v>
      </c>
      <c r="E102" s="1">
        <v>366</v>
      </c>
      <c r="H102" s="15" t="s">
        <v>10</v>
      </c>
      <c r="I102" s="19">
        <f>SUM(E102:E105)</f>
        <v>581</v>
      </c>
    </row>
    <row r="103" spans="1:9">
      <c r="A103" s="8">
        <v>45793</v>
      </c>
      <c r="B103" s="1">
        <v>836</v>
      </c>
      <c r="C103" s="18" t="s">
        <v>136</v>
      </c>
      <c r="D103" s="1">
        <v>135</v>
      </c>
      <c r="E103" s="1">
        <v>135</v>
      </c>
      <c r="H103" s="15" t="s">
        <v>10</v>
      </c>
      <c r="I103" s="19"/>
    </row>
    <row r="104" spans="1:9">
      <c r="A104" s="8">
        <v>45793</v>
      </c>
      <c r="B104" s="1">
        <v>887</v>
      </c>
      <c r="C104" s="18" t="s">
        <v>138</v>
      </c>
      <c r="D104" s="1">
        <v>30</v>
      </c>
      <c r="E104" s="1">
        <v>30</v>
      </c>
      <c r="H104" s="15" t="s">
        <v>10</v>
      </c>
      <c r="I104" s="19"/>
    </row>
    <row r="105" spans="1:9">
      <c r="A105" s="8">
        <v>45793</v>
      </c>
      <c r="B105" s="1">
        <v>810</v>
      </c>
      <c r="C105" s="18" t="s">
        <v>34</v>
      </c>
      <c r="D105" s="1">
        <v>50</v>
      </c>
      <c r="E105" s="1">
        <v>50</v>
      </c>
      <c r="H105" s="15" t="s">
        <v>10</v>
      </c>
      <c r="I105" s="19"/>
    </row>
    <row r="106" spans="1:9">
      <c r="A106" s="8">
        <v>45794</v>
      </c>
      <c r="B106" s="1">
        <v>813</v>
      </c>
      <c r="C106" s="18" t="s">
        <v>49</v>
      </c>
      <c r="D106" s="1">
        <v>50</v>
      </c>
      <c r="E106" s="1">
        <v>50</v>
      </c>
      <c r="H106" s="15" t="s">
        <v>10</v>
      </c>
      <c r="I106" s="19">
        <f>SUM(E106:E112)</f>
        <v>867</v>
      </c>
    </row>
    <row r="107" spans="1:9">
      <c r="A107" s="8">
        <v>45794</v>
      </c>
      <c r="B107" s="1">
        <v>828</v>
      </c>
      <c r="C107" s="18" t="s">
        <v>51</v>
      </c>
      <c r="D107" s="1">
        <v>438</v>
      </c>
      <c r="E107" s="1">
        <v>438</v>
      </c>
      <c r="H107" s="15" t="s">
        <v>10</v>
      </c>
      <c r="I107" s="19"/>
    </row>
    <row r="108" spans="1:9">
      <c r="A108" s="8">
        <v>45794</v>
      </c>
      <c r="B108" s="1">
        <v>837</v>
      </c>
      <c r="C108" s="18" t="s">
        <v>40</v>
      </c>
      <c r="D108" s="1">
        <v>135</v>
      </c>
      <c r="E108" s="1">
        <v>135</v>
      </c>
      <c r="H108" s="15" t="s">
        <v>10</v>
      </c>
      <c r="I108" s="19"/>
    </row>
    <row r="109" spans="1:9">
      <c r="A109" s="8">
        <v>45794</v>
      </c>
      <c r="B109" s="1">
        <v>835</v>
      </c>
      <c r="C109" s="18" t="s">
        <v>64</v>
      </c>
      <c r="D109" s="1">
        <v>108</v>
      </c>
      <c r="E109" s="1">
        <v>108</v>
      </c>
      <c r="H109" s="15" t="s">
        <v>10</v>
      </c>
      <c r="I109" s="19"/>
    </row>
    <row r="110" spans="1:9">
      <c r="A110" s="8">
        <v>45794</v>
      </c>
      <c r="B110" s="1">
        <v>871</v>
      </c>
      <c r="C110" s="18" t="s">
        <v>63</v>
      </c>
      <c r="D110" s="1">
        <v>30</v>
      </c>
      <c r="E110" s="1">
        <v>30</v>
      </c>
      <c r="H110" s="15" t="s">
        <v>10</v>
      </c>
      <c r="I110" s="19"/>
    </row>
    <row r="111" spans="1:9">
      <c r="A111" s="8">
        <v>45794</v>
      </c>
      <c r="B111" s="1">
        <v>875</v>
      </c>
      <c r="C111" s="18" t="s">
        <v>42</v>
      </c>
      <c r="D111" s="1">
        <v>62</v>
      </c>
      <c r="E111" s="1">
        <v>62</v>
      </c>
      <c r="H111" s="15" t="s">
        <v>10</v>
      </c>
      <c r="I111" s="19"/>
    </row>
    <row r="112" spans="1:9">
      <c r="A112" s="8">
        <v>45794</v>
      </c>
      <c r="B112" s="1">
        <v>613</v>
      </c>
      <c r="C112" s="18" t="s">
        <v>39</v>
      </c>
      <c r="D112" s="1">
        <v>44</v>
      </c>
      <c r="E112" s="1">
        <v>44</v>
      </c>
      <c r="H112" s="15" t="s">
        <v>10</v>
      </c>
      <c r="I112" s="19"/>
    </row>
    <row r="113" spans="1:9">
      <c r="A113" s="8">
        <v>45795</v>
      </c>
      <c r="B113" s="1">
        <v>838</v>
      </c>
      <c r="C113" s="18" t="s">
        <v>41</v>
      </c>
      <c r="D113" s="1">
        <v>213</v>
      </c>
      <c r="E113" s="1">
        <v>213</v>
      </c>
      <c r="H113" s="15" t="s">
        <v>10</v>
      </c>
      <c r="I113" s="19">
        <f>SUM(E113:E119)</f>
        <v>977</v>
      </c>
    </row>
    <row r="114" spans="1:9">
      <c r="A114" s="8">
        <v>45795</v>
      </c>
      <c r="B114" s="1">
        <v>835</v>
      </c>
      <c r="C114" s="18" t="s">
        <v>64</v>
      </c>
      <c r="D114" s="1">
        <v>84</v>
      </c>
      <c r="E114" s="1">
        <v>84</v>
      </c>
      <c r="H114" s="15" t="s">
        <v>10</v>
      </c>
      <c r="I114" s="19"/>
    </row>
    <row r="115" spans="1:9">
      <c r="A115" s="8">
        <v>45795</v>
      </c>
      <c r="B115" s="1">
        <v>840</v>
      </c>
      <c r="C115" s="18" t="s">
        <v>47</v>
      </c>
      <c r="D115" s="1">
        <v>496</v>
      </c>
      <c r="E115" s="1">
        <v>496</v>
      </c>
      <c r="H115" s="15" t="s">
        <v>10</v>
      </c>
      <c r="I115" s="19"/>
    </row>
    <row r="116" spans="1:9">
      <c r="A116" s="8">
        <v>45795</v>
      </c>
      <c r="B116" s="1">
        <v>875</v>
      </c>
      <c r="C116" s="18" t="s">
        <v>42</v>
      </c>
      <c r="D116" s="1">
        <v>140</v>
      </c>
      <c r="E116" s="1">
        <v>140</v>
      </c>
      <c r="H116" s="15" t="s">
        <v>10</v>
      </c>
      <c r="I116" s="19"/>
    </row>
    <row r="117" spans="1:9">
      <c r="A117" s="8">
        <v>45795</v>
      </c>
      <c r="B117" s="1">
        <v>888</v>
      </c>
      <c r="C117" s="18" t="s">
        <v>135</v>
      </c>
      <c r="D117" s="1">
        <v>36</v>
      </c>
      <c r="E117" s="1">
        <v>36</v>
      </c>
      <c r="H117" s="15" t="s">
        <v>10</v>
      </c>
      <c r="I117" s="19"/>
    </row>
    <row r="118" spans="1:9">
      <c r="A118" s="8">
        <v>45795</v>
      </c>
      <c r="B118" s="1">
        <v>809</v>
      </c>
      <c r="C118" s="18" t="s">
        <v>38</v>
      </c>
      <c r="D118" s="1">
        <v>4</v>
      </c>
      <c r="E118" s="1">
        <v>4</v>
      </c>
      <c r="H118" s="15" t="s">
        <v>10</v>
      </c>
      <c r="I118" s="19"/>
    </row>
    <row r="119" spans="1:9">
      <c r="A119" s="8">
        <v>45795</v>
      </c>
      <c r="B119" s="1">
        <v>613</v>
      </c>
      <c r="C119" s="18" t="s">
        <v>39</v>
      </c>
      <c r="D119" s="1">
        <v>4</v>
      </c>
      <c r="E119" s="1">
        <v>4</v>
      </c>
      <c r="H119" s="15" t="s">
        <v>10</v>
      </c>
      <c r="I119" s="19"/>
    </row>
    <row r="120" spans="1:9">
      <c r="A120" s="8">
        <v>45796</v>
      </c>
      <c r="B120" s="1">
        <v>838</v>
      </c>
      <c r="C120" s="18" t="s">
        <v>41</v>
      </c>
      <c r="D120" s="1">
        <v>201</v>
      </c>
      <c r="E120" s="1">
        <v>201</v>
      </c>
      <c r="H120" s="15" t="s">
        <v>10</v>
      </c>
      <c r="I120" s="19">
        <f>SUM(E120:E123)</f>
        <v>607</v>
      </c>
    </row>
    <row r="121" spans="1:9">
      <c r="A121" s="8">
        <v>45796</v>
      </c>
      <c r="B121" s="1">
        <v>840</v>
      </c>
      <c r="C121" s="18" t="s">
        <v>47</v>
      </c>
      <c r="D121" s="1">
        <v>340</v>
      </c>
      <c r="E121" s="1">
        <v>340</v>
      </c>
      <c r="H121" s="15" t="s">
        <v>10</v>
      </c>
      <c r="I121" s="19"/>
    </row>
    <row r="122" spans="1:9">
      <c r="A122" s="8">
        <v>45796</v>
      </c>
      <c r="B122" s="1">
        <v>813</v>
      </c>
      <c r="C122" s="18" t="s">
        <v>49</v>
      </c>
      <c r="D122" s="1">
        <v>20</v>
      </c>
      <c r="E122" s="1">
        <v>20</v>
      </c>
      <c r="H122" s="15" t="s">
        <v>10</v>
      </c>
      <c r="I122" s="19"/>
    </row>
    <row r="123" spans="1:9">
      <c r="A123" s="8">
        <v>45796</v>
      </c>
      <c r="B123" s="1">
        <v>828</v>
      </c>
      <c r="C123" s="18" t="s">
        <v>51</v>
      </c>
      <c r="D123" s="1">
        <v>46</v>
      </c>
      <c r="E123" s="1">
        <v>46</v>
      </c>
      <c r="H123" s="15" t="s">
        <v>10</v>
      </c>
      <c r="I123" s="19"/>
    </row>
    <row r="124" spans="1:9">
      <c r="A124" s="8">
        <v>45797</v>
      </c>
      <c r="B124" s="1">
        <v>835</v>
      </c>
      <c r="C124" s="18" t="s">
        <v>64</v>
      </c>
      <c r="D124" s="1">
        <v>148</v>
      </c>
      <c r="E124" s="1">
        <v>148</v>
      </c>
      <c r="H124" s="15" t="s">
        <v>10</v>
      </c>
      <c r="I124" s="19">
        <f>SUM(E124:E129)</f>
        <v>356</v>
      </c>
    </row>
    <row r="125" spans="1:9">
      <c r="A125" s="8">
        <v>45797</v>
      </c>
      <c r="B125" s="1">
        <v>809</v>
      </c>
      <c r="C125" s="18" t="s">
        <v>38</v>
      </c>
      <c r="D125" s="1">
        <v>12</v>
      </c>
      <c r="E125" s="1">
        <v>12</v>
      </c>
      <c r="H125" s="15" t="s">
        <v>10</v>
      </c>
      <c r="I125" s="19"/>
    </row>
    <row r="126" spans="1:9">
      <c r="A126" s="8">
        <v>45797</v>
      </c>
      <c r="B126" s="1">
        <v>838</v>
      </c>
      <c r="C126" s="18" t="s">
        <v>41</v>
      </c>
      <c r="D126" s="1">
        <v>100</v>
      </c>
      <c r="E126" s="1">
        <v>100</v>
      </c>
      <c r="H126" s="15" t="s">
        <v>10</v>
      </c>
      <c r="I126" s="19"/>
    </row>
    <row r="127" spans="1:9">
      <c r="A127" s="8">
        <v>45797</v>
      </c>
      <c r="B127" s="1">
        <v>840</v>
      </c>
      <c r="C127" s="18" t="s">
        <v>47</v>
      </c>
      <c r="D127" s="1">
        <v>10</v>
      </c>
      <c r="E127" s="1">
        <v>10</v>
      </c>
      <c r="H127" s="15" t="s">
        <v>10</v>
      </c>
      <c r="I127" s="19"/>
    </row>
    <row r="128" spans="1:9">
      <c r="A128" s="8">
        <v>45797</v>
      </c>
      <c r="B128" s="1">
        <v>609</v>
      </c>
      <c r="C128" s="18" t="s">
        <v>33</v>
      </c>
      <c r="D128" s="1">
        <v>30</v>
      </c>
      <c r="E128" s="1">
        <v>30</v>
      </c>
      <c r="H128" s="15" t="s">
        <v>10</v>
      </c>
      <c r="I128" s="19"/>
    </row>
    <row r="129" spans="1:9">
      <c r="A129" s="8">
        <v>45797</v>
      </c>
      <c r="B129" s="1">
        <v>813</v>
      </c>
      <c r="C129" s="18" t="s">
        <v>49</v>
      </c>
      <c r="D129" s="1">
        <v>56</v>
      </c>
      <c r="E129" s="1">
        <v>56</v>
      </c>
      <c r="H129" s="15" t="s">
        <v>10</v>
      </c>
      <c r="I129" s="19"/>
    </row>
    <row r="130" spans="1:9">
      <c r="A130" s="8">
        <v>45798</v>
      </c>
      <c r="B130" s="1">
        <v>809</v>
      </c>
      <c r="C130" s="18" t="s">
        <v>38</v>
      </c>
      <c r="D130" s="1">
        <v>195</v>
      </c>
      <c r="E130" s="1">
        <v>195</v>
      </c>
      <c r="H130" s="15" t="s">
        <v>10</v>
      </c>
      <c r="I130" s="19">
        <f>SUM(E130:E137)</f>
        <v>1266</v>
      </c>
    </row>
    <row r="131" spans="1:9">
      <c r="A131" s="8">
        <v>45798</v>
      </c>
      <c r="B131" s="1">
        <v>835</v>
      </c>
      <c r="C131" s="18" t="s">
        <v>64</v>
      </c>
      <c r="D131" s="1">
        <v>186</v>
      </c>
      <c r="E131" s="1">
        <v>186</v>
      </c>
      <c r="H131" s="15" t="s">
        <v>10</v>
      </c>
      <c r="I131" s="19"/>
    </row>
    <row r="132" spans="1:9">
      <c r="A132" s="8">
        <v>45798</v>
      </c>
      <c r="B132" s="1">
        <v>837</v>
      </c>
      <c r="C132" s="18" t="s">
        <v>40</v>
      </c>
      <c r="D132" s="1">
        <v>192</v>
      </c>
      <c r="E132" s="1">
        <v>192</v>
      </c>
      <c r="H132" s="15" t="s">
        <v>10</v>
      </c>
      <c r="I132" s="19"/>
    </row>
    <row r="133" spans="1:9">
      <c r="A133" s="8">
        <v>45798</v>
      </c>
      <c r="B133" s="1">
        <v>838</v>
      </c>
      <c r="C133" s="18" t="s">
        <v>41</v>
      </c>
      <c r="D133" s="1">
        <v>168</v>
      </c>
      <c r="E133" s="1">
        <v>168</v>
      </c>
      <c r="H133" s="15" t="s">
        <v>10</v>
      </c>
      <c r="I133" s="19"/>
    </row>
    <row r="134" spans="1:9">
      <c r="A134" s="8">
        <v>45798</v>
      </c>
      <c r="B134" s="1">
        <v>840</v>
      </c>
      <c r="C134" s="18" t="s">
        <v>47</v>
      </c>
      <c r="D134" s="1">
        <v>154</v>
      </c>
      <c r="E134" s="1">
        <v>154</v>
      </c>
      <c r="H134" s="15" t="s">
        <v>10</v>
      </c>
      <c r="I134" s="19"/>
    </row>
    <row r="135" spans="1:9">
      <c r="A135" s="8">
        <v>45798</v>
      </c>
      <c r="B135" s="1">
        <v>875</v>
      </c>
      <c r="C135" s="18" t="s">
        <v>42</v>
      </c>
      <c r="D135" s="1">
        <v>246</v>
      </c>
      <c r="E135" s="1">
        <v>246</v>
      </c>
      <c r="H135" s="15" t="s">
        <v>10</v>
      </c>
      <c r="I135" s="19"/>
    </row>
    <row r="136" spans="1:9">
      <c r="A136" s="8">
        <v>45798</v>
      </c>
      <c r="B136" s="1">
        <v>827</v>
      </c>
      <c r="C136" s="18" t="s">
        <v>50</v>
      </c>
      <c r="D136" s="1">
        <v>51</v>
      </c>
      <c r="E136" s="1">
        <v>51</v>
      </c>
      <c r="H136" s="15" t="s">
        <v>10</v>
      </c>
      <c r="I136" s="19"/>
    </row>
    <row r="137" spans="1:9">
      <c r="A137" s="8">
        <v>45798</v>
      </c>
      <c r="B137" s="1">
        <v>609</v>
      </c>
      <c r="C137" s="18" t="s">
        <v>33</v>
      </c>
      <c r="D137" s="1">
        <v>74</v>
      </c>
      <c r="E137" s="1">
        <v>74</v>
      </c>
      <c r="H137" s="15" t="s">
        <v>10</v>
      </c>
      <c r="I137" s="19"/>
    </row>
    <row r="138" spans="1:9">
      <c r="A138" s="8">
        <v>45799</v>
      </c>
      <c r="B138" s="1">
        <v>838</v>
      </c>
      <c r="C138" s="18" t="s">
        <v>41</v>
      </c>
      <c r="D138" s="1">
        <v>246</v>
      </c>
      <c r="E138" s="1">
        <v>246</v>
      </c>
      <c r="H138" s="15" t="s">
        <v>10</v>
      </c>
      <c r="I138" s="19">
        <f>SUM(E138:E144)</f>
        <v>846</v>
      </c>
    </row>
    <row r="139" spans="1:9">
      <c r="A139" s="8">
        <v>45799</v>
      </c>
      <c r="B139" s="1">
        <v>837</v>
      </c>
      <c r="C139" s="18" t="s">
        <v>40</v>
      </c>
      <c r="D139" s="1">
        <v>127</v>
      </c>
      <c r="E139" s="1">
        <v>127</v>
      </c>
      <c r="H139" s="15" t="s">
        <v>10</v>
      </c>
      <c r="I139" s="19"/>
    </row>
    <row r="140" ht="19.05" customHeight="1" spans="1:9">
      <c r="A140" s="8">
        <v>45799</v>
      </c>
      <c r="B140" s="1">
        <v>613</v>
      </c>
      <c r="C140" s="18" t="s">
        <v>39</v>
      </c>
      <c r="D140" s="1">
        <v>32</v>
      </c>
      <c r="E140" s="1">
        <v>32</v>
      </c>
      <c r="H140" s="15" t="s">
        <v>10</v>
      </c>
      <c r="I140" s="19"/>
    </row>
    <row r="141" spans="1:9">
      <c r="A141" s="8">
        <v>45799</v>
      </c>
      <c r="B141" s="1">
        <v>809</v>
      </c>
      <c r="C141" s="18" t="s">
        <v>38</v>
      </c>
      <c r="D141" s="1">
        <v>213</v>
      </c>
      <c r="E141" s="1">
        <v>213</v>
      </c>
      <c r="H141" s="15" t="s">
        <v>10</v>
      </c>
      <c r="I141" s="19"/>
    </row>
    <row r="142" spans="1:9">
      <c r="A142" s="8">
        <v>45799</v>
      </c>
      <c r="B142" s="1">
        <v>875</v>
      </c>
      <c r="C142" s="18" t="s">
        <v>42</v>
      </c>
      <c r="D142" s="1">
        <v>144</v>
      </c>
      <c r="E142" s="1">
        <v>144</v>
      </c>
      <c r="H142" s="15" t="s">
        <v>10</v>
      </c>
      <c r="I142" s="19"/>
    </row>
    <row r="143" spans="1:9">
      <c r="A143" s="8">
        <v>45799</v>
      </c>
      <c r="B143" s="1">
        <v>896</v>
      </c>
      <c r="C143" s="18" t="s">
        <v>31</v>
      </c>
      <c r="D143" s="1">
        <v>80</v>
      </c>
      <c r="E143" s="1">
        <v>80</v>
      </c>
      <c r="H143" s="15" t="s">
        <v>10</v>
      </c>
      <c r="I143" s="19"/>
    </row>
    <row r="144" spans="1:9">
      <c r="A144" s="8">
        <v>45799</v>
      </c>
      <c r="B144" s="1">
        <v>813</v>
      </c>
      <c r="C144" s="18" t="s">
        <v>49</v>
      </c>
      <c r="D144" s="1">
        <v>4</v>
      </c>
      <c r="E144" s="1">
        <v>4</v>
      </c>
      <c r="H144" s="15" t="s">
        <v>10</v>
      </c>
      <c r="I144" s="19"/>
    </row>
    <row r="145" spans="1:9">
      <c r="A145" s="8">
        <v>45800</v>
      </c>
      <c r="B145" s="1">
        <v>838</v>
      </c>
      <c r="C145" s="18" t="s">
        <v>41</v>
      </c>
      <c r="D145" s="1">
        <v>144</v>
      </c>
      <c r="E145" s="1">
        <v>144</v>
      </c>
      <c r="H145" s="15" t="s">
        <v>10</v>
      </c>
      <c r="I145" s="19">
        <f>SUM(E145:E150)</f>
        <v>1404</v>
      </c>
    </row>
    <row r="146" spans="1:9">
      <c r="A146" s="8">
        <v>45800</v>
      </c>
      <c r="B146" s="1">
        <v>837</v>
      </c>
      <c r="C146" s="18" t="s">
        <v>40</v>
      </c>
      <c r="D146" s="1">
        <v>168</v>
      </c>
      <c r="E146" s="1">
        <v>168</v>
      </c>
      <c r="H146" s="15" t="s">
        <v>10</v>
      </c>
      <c r="I146" s="19"/>
    </row>
    <row r="147" spans="1:9">
      <c r="A147" s="8">
        <v>45800</v>
      </c>
      <c r="B147" s="1">
        <v>836</v>
      </c>
      <c r="C147" s="18" t="s">
        <v>136</v>
      </c>
      <c r="D147" s="1">
        <v>72</v>
      </c>
      <c r="E147" s="1">
        <v>72</v>
      </c>
      <c r="H147" s="15" t="s">
        <v>10</v>
      </c>
      <c r="I147" s="19"/>
    </row>
    <row r="148" spans="1:9">
      <c r="A148" s="8">
        <v>45800</v>
      </c>
      <c r="B148" s="1">
        <v>835</v>
      </c>
      <c r="C148" s="18" t="s">
        <v>64</v>
      </c>
      <c r="D148" s="1">
        <v>417</v>
      </c>
      <c r="E148" s="1">
        <v>417</v>
      </c>
      <c r="H148" s="15" t="s">
        <v>10</v>
      </c>
      <c r="I148" s="19"/>
    </row>
    <row r="149" spans="1:9">
      <c r="A149" s="8">
        <v>45800</v>
      </c>
      <c r="B149" s="1">
        <v>809</v>
      </c>
      <c r="C149" s="18" t="s">
        <v>38</v>
      </c>
      <c r="D149" s="1">
        <v>291</v>
      </c>
      <c r="E149" s="1">
        <v>291</v>
      </c>
      <c r="H149" s="15" t="s">
        <v>10</v>
      </c>
      <c r="I149" s="19"/>
    </row>
    <row r="150" spans="1:9">
      <c r="A150" s="8">
        <v>45800</v>
      </c>
      <c r="B150" s="1">
        <v>840</v>
      </c>
      <c r="C150" s="18" t="s">
        <v>47</v>
      </c>
      <c r="D150" s="1">
        <v>312</v>
      </c>
      <c r="E150" s="1">
        <v>312</v>
      </c>
      <c r="H150" s="15" t="s">
        <v>10</v>
      </c>
      <c r="I150" s="19"/>
    </row>
    <row r="151" spans="1:9">
      <c r="A151" s="8">
        <v>45801</v>
      </c>
      <c r="B151" s="1">
        <v>838</v>
      </c>
      <c r="C151" s="18" t="s">
        <v>41</v>
      </c>
      <c r="D151" s="1">
        <v>192</v>
      </c>
      <c r="E151" s="1">
        <v>192</v>
      </c>
      <c r="H151" s="15" t="s">
        <v>10</v>
      </c>
      <c r="I151" s="19">
        <f>SUM(E151:E155)</f>
        <v>608</v>
      </c>
    </row>
    <row r="152" spans="1:9">
      <c r="A152" s="8">
        <v>45801</v>
      </c>
      <c r="B152" s="1">
        <v>840</v>
      </c>
      <c r="C152" s="18" t="s">
        <v>47</v>
      </c>
      <c r="D152" s="1">
        <v>80</v>
      </c>
      <c r="E152" s="1">
        <v>80</v>
      </c>
      <c r="H152" s="15" t="s">
        <v>10</v>
      </c>
      <c r="I152" s="19"/>
    </row>
    <row r="153" spans="1:9">
      <c r="A153" s="8">
        <v>45801</v>
      </c>
      <c r="B153" s="1">
        <v>832</v>
      </c>
      <c r="C153" s="18" t="s">
        <v>140</v>
      </c>
      <c r="D153" s="1">
        <v>10</v>
      </c>
      <c r="E153" s="1">
        <v>10</v>
      </c>
      <c r="H153" s="15" t="s">
        <v>10</v>
      </c>
      <c r="I153" s="19"/>
    </row>
    <row r="154" spans="1:9">
      <c r="A154" s="8">
        <v>45801</v>
      </c>
      <c r="B154" s="1">
        <v>813</v>
      </c>
      <c r="C154" s="18" t="s">
        <v>49</v>
      </c>
      <c r="D154" s="1">
        <v>116</v>
      </c>
      <c r="E154" s="1">
        <v>116</v>
      </c>
      <c r="H154" s="15" t="s">
        <v>10</v>
      </c>
      <c r="I154" s="19"/>
    </row>
    <row r="155" spans="1:9">
      <c r="A155" s="8">
        <v>45801</v>
      </c>
      <c r="B155" s="1">
        <v>875</v>
      </c>
      <c r="C155" s="18" t="s">
        <v>42</v>
      </c>
      <c r="D155" s="1">
        <v>210</v>
      </c>
      <c r="E155" s="1">
        <v>210</v>
      </c>
      <c r="H155" s="15" t="s">
        <v>10</v>
      </c>
      <c r="I155" s="19"/>
    </row>
    <row r="156" spans="1:9">
      <c r="A156" s="8">
        <v>45802</v>
      </c>
      <c r="B156" s="1">
        <v>838</v>
      </c>
      <c r="C156" s="18" t="s">
        <v>41</v>
      </c>
      <c r="D156" s="1">
        <v>270</v>
      </c>
      <c r="E156" s="1">
        <v>270</v>
      </c>
      <c r="H156" s="15" t="s">
        <v>10</v>
      </c>
      <c r="I156" s="19">
        <f>SUM(E156:E162)</f>
        <v>1660</v>
      </c>
    </row>
    <row r="157" spans="1:9">
      <c r="A157" s="8">
        <v>45802</v>
      </c>
      <c r="B157" s="1">
        <v>837</v>
      </c>
      <c r="C157" s="18" t="s">
        <v>40</v>
      </c>
      <c r="D157" s="1">
        <v>172</v>
      </c>
      <c r="E157" s="1">
        <v>172</v>
      </c>
      <c r="H157" s="15" t="s">
        <v>10</v>
      </c>
      <c r="I157" s="19"/>
    </row>
    <row r="158" spans="1:9">
      <c r="A158" s="8">
        <v>45802</v>
      </c>
      <c r="B158" s="1">
        <v>613</v>
      </c>
      <c r="C158" s="18" t="s">
        <v>39</v>
      </c>
      <c r="D158" s="1">
        <v>62</v>
      </c>
      <c r="E158" s="1">
        <v>62</v>
      </c>
      <c r="H158" s="15" t="s">
        <v>10</v>
      </c>
      <c r="I158" s="19"/>
    </row>
    <row r="159" spans="1:9">
      <c r="A159" s="8">
        <v>45802</v>
      </c>
      <c r="B159" s="1">
        <v>835</v>
      </c>
      <c r="C159" s="18" t="s">
        <v>64</v>
      </c>
      <c r="D159" s="1">
        <v>46</v>
      </c>
      <c r="E159" s="1">
        <v>46</v>
      </c>
      <c r="H159" s="15" t="s">
        <v>10</v>
      </c>
      <c r="I159" s="19"/>
    </row>
    <row r="160" spans="1:9">
      <c r="A160" s="8">
        <v>45802</v>
      </c>
      <c r="B160" s="1">
        <v>840</v>
      </c>
      <c r="C160" s="18" t="s">
        <v>47</v>
      </c>
      <c r="D160" s="1">
        <v>324</v>
      </c>
      <c r="E160" s="1">
        <v>324</v>
      </c>
      <c r="H160" s="15" t="s">
        <v>10</v>
      </c>
      <c r="I160" s="19"/>
    </row>
    <row r="161" spans="1:9">
      <c r="A161" s="8">
        <v>45802</v>
      </c>
      <c r="B161" s="1">
        <v>875</v>
      </c>
      <c r="C161" s="18" t="s">
        <v>42</v>
      </c>
      <c r="D161" s="1">
        <v>210</v>
      </c>
      <c r="E161" s="1">
        <v>210</v>
      </c>
      <c r="H161" s="15" t="s">
        <v>10</v>
      </c>
      <c r="I161" s="19"/>
    </row>
    <row r="162" spans="1:9">
      <c r="A162" s="8">
        <v>45802</v>
      </c>
      <c r="B162" s="1">
        <v>840</v>
      </c>
      <c r="C162" s="18" t="s">
        <v>47</v>
      </c>
      <c r="D162" s="1">
        <v>576</v>
      </c>
      <c r="E162" s="1">
        <v>576</v>
      </c>
      <c r="H162" s="15" t="s">
        <v>10</v>
      </c>
      <c r="I162" s="19"/>
    </row>
    <row r="163" spans="1:9">
      <c r="A163" s="8">
        <v>45803</v>
      </c>
      <c r="B163" s="1">
        <v>838</v>
      </c>
      <c r="C163" s="18" t="s">
        <v>41</v>
      </c>
      <c r="D163" s="1">
        <v>225</v>
      </c>
      <c r="E163" s="1">
        <v>225</v>
      </c>
      <c r="H163" s="15" t="s">
        <v>10</v>
      </c>
      <c r="I163" s="19">
        <f>SUM(E163:E167)</f>
        <v>869</v>
      </c>
    </row>
    <row r="164" spans="1:9">
      <c r="A164" s="8">
        <v>45803</v>
      </c>
      <c r="B164" s="1">
        <v>837</v>
      </c>
      <c r="C164" s="18" t="s">
        <v>40</v>
      </c>
      <c r="D164" s="1">
        <v>150</v>
      </c>
      <c r="E164" s="1">
        <v>150</v>
      </c>
      <c r="H164" s="15" t="s">
        <v>10</v>
      </c>
      <c r="I164" s="19"/>
    </row>
    <row r="165" spans="1:9">
      <c r="A165" s="8">
        <v>45803</v>
      </c>
      <c r="B165" s="1">
        <v>840</v>
      </c>
      <c r="C165" s="18" t="s">
        <v>47</v>
      </c>
      <c r="D165" s="1">
        <v>255</v>
      </c>
      <c r="E165" s="1">
        <v>255</v>
      </c>
      <c r="H165" s="15" t="s">
        <v>10</v>
      </c>
      <c r="I165" s="19"/>
    </row>
    <row r="166" spans="1:9">
      <c r="A166" s="8">
        <v>45803</v>
      </c>
      <c r="B166" s="1">
        <v>875</v>
      </c>
      <c r="C166" s="18" t="s">
        <v>42</v>
      </c>
      <c r="D166" s="1">
        <v>183</v>
      </c>
      <c r="E166" s="1">
        <v>183</v>
      </c>
      <c r="H166" s="15" t="s">
        <v>10</v>
      </c>
      <c r="I166" s="19"/>
    </row>
    <row r="167" spans="1:9">
      <c r="A167" s="8">
        <v>45803</v>
      </c>
      <c r="B167" s="1">
        <v>807</v>
      </c>
      <c r="C167" s="18" t="s">
        <v>52</v>
      </c>
      <c r="D167" s="1">
        <v>56</v>
      </c>
      <c r="E167" s="1">
        <v>56</v>
      </c>
      <c r="H167" s="15" t="s">
        <v>10</v>
      </c>
      <c r="I167" s="19"/>
    </row>
    <row r="168" spans="1:9">
      <c r="A168" s="8">
        <v>45804</v>
      </c>
      <c r="B168" s="1">
        <v>837</v>
      </c>
      <c r="C168" s="18" t="s">
        <v>40</v>
      </c>
      <c r="D168" s="1">
        <v>255</v>
      </c>
      <c r="E168" s="1">
        <v>255</v>
      </c>
      <c r="H168" s="15" t="s">
        <v>10</v>
      </c>
      <c r="I168" s="19">
        <f>SUM(E168:E178)</f>
        <v>1714</v>
      </c>
    </row>
    <row r="169" spans="1:9">
      <c r="A169" s="8">
        <v>45804</v>
      </c>
      <c r="B169" s="1">
        <v>838</v>
      </c>
      <c r="C169" s="18" t="s">
        <v>41</v>
      </c>
      <c r="D169" s="1">
        <v>174</v>
      </c>
      <c r="E169" s="1">
        <v>174</v>
      </c>
      <c r="H169" s="15" t="s">
        <v>10</v>
      </c>
      <c r="I169" s="19"/>
    </row>
    <row r="170" spans="1:9">
      <c r="A170" s="8">
        <v>45804</v>
      </c>
      <c r="B170" s="1">
        <v>835</v>
      </c>
      <c r="C170" s="18" t="s">
        <v>64</v>
      </c>
      <c r="D170" s="1">
        <v>309</v>
      </c>
      <c r="E170" s="1">
        <v>309</v>
      </c>
      <c r="H170" s="15" t="s">
        <v>10</v>
      </c>
      <c r="I170" s="19"/>
    </row>
    <row r="171" spans="1:9">
      <c r="A171" s="8">
        <v>45804</v>
      </c>
      <c r="B171" s="1">
        <v>809</v>
      </c>
      <c r="C171" s="18" t="s">
        <v>38</v>
      </c>
      <c r="D171" s="1">
        <v>147</v>
      </c>
      <c r="E171" s="1">
        <v>147</v>
      </c>
      <c r="H171" s="15" t="s">
        <v>10</v>
      </c>
      <c r="I171" s="19"/>
    </row>
    <row r="172" spans="1:9">
      <c r="A172" s="8">
        <v>45804</v>
      </c>
      <c r="B172" s="1">
        <v>818</v>
      </c>
      <c r="C172" s="18" t="s">
        <v>37</v>
      </c>
      <c r="D172" s="1">
        <v>166</v>
      </c>
      <c r="E172" s="1">
        <v>166</v>
      </c>
      <c r="H172" s="15" t="s">
        <v>10</v>
      </c>
      <c r="I172" s="19"/>
    </row>
    <row r="173" spans="1:9">
      <c r="A173" s="8">
        <v>45804</v>
      </c>
      <c r="B173" s="1">
        <v>817</v>
      </c>
      <c r="C173" s="18" t="s">
        <v>36</v>
      </c>
      <c r="D173" s="1">
        <v>30</v>
      </c>
      <c r="E173" s="1">
        <v>30</v>
      </c>
      <c r="H173" s="15" t="s">
        <v>10</v>
      </c>
      <c r="I173" s="19"/>
    </row>
    <row r="174" spans="1:9">
      <c r="A174" s="8">
        <v>45804</v>
      </c>
      <c r="B174" s="1">
        <v>840</v>
      </c>
      <c r="C174" s="18" t="s">
        <v>47</v>
      </c>
      <c r="D174" s="1">
        <v>330</v>
      </c>
      <c r="E174" s="1">
        <v>330</v>
      </c>
      <c r="H174" s="15" t="s">
        <v>10</v>
      </c>
      <c r="I174" s="19"/>
    </row>
    <row r="175" spans="1:9">
      <c r="A175" s="8">
        <v>45804</v>
      </c>
      <c r="B175" s="1">
        <v>813</v>
      </c>
      <c r="C175" s="18" t="s">
        <v>49</v>
      </c>
      <c r="D175" s="1">
        <v>141</v>
      </c>
      <c r="E175" s="1">
        <v>141</v>
      </c>
      <c r="H175" s="15" t="s">
        <v>10</v>
      </c>
      <c r="I175" s="19"/>
    </row>
    <row r="176" spans="1:9">
      <c r="A176" s="8">
        <v>45804</v>
      </c>
      <c r="B176" s="1">
        <v>835</v>
      </c>
      <c r="C176" s="18" t="s">
        <v>64</v>
      </c>
      <c r="D176" s="1">
        <v>42</v>
      </c>
      <c r="E176" s="1">
        <v>42</v>
      </c>
      <c r="H176" s="15" t="s">
        <v>10</v>
      </c>
      <c r="I176" s="19"/>
    </row>
    <row r="177" spans="1:9">
      <c r="A177" s="8">
        <v>45804</v>
      </c>
      <c r="B177" s="1">
        <v>875</v>
      </c>
      <c r="C177" s="18" t="s">
        <v>42</v>
      </c>
      <c r="D177" s="1">
        <v>80</v>
      </c>
      <c r="E177" s="1">
        <v>80</v>
      </c>
      <c r="H177" s="15" t="s">
        <v>10</v>
      </c>
      <c r="I177" s="19"/>
    </row>
    <row r="178" spans="1:9">
      <c r="A178" s="8">
        <v>45804</v>
      </c>
      <c r="B178" s="1">
        <v>807</v>
      </c>
      <c r="C178" s="18" t="s">
        <v>52</v>
      </c>
      <c r="D178" s="1">
        <v>40</v>
      </c>
      <c r="E178" s="1">
        <v>40</v>
      </c>
      <c r="H178" s="15" t="s">
        <v>10</v>
      </c>
      <c r="I178" s="19"/>
    </row>
    <row r="179" spans="1:9">
      <c r="A179" s="8">
        <v>45806</v>
      </c>
      <c r="B179" s="1">
        <v>613</v>
      </c>
      <c r="C179" s="18" t="s">
        <v>39</v>
      </c>
      <c r="D179" s="1">
        <v>84</v>
      </c>
      <c r="E179" s="1">
        <v>84</v>
      </c>
      <c r="H179" s="15" t="s">
        <v>10</v>
      </c>
      <c r="I179" s="19">
        <f>SUM(E179:E192)</f>
        <v>1435</v>
      </c>
    </row>
    <row r="180" spans="1:9">
      <c r="A180" s="8">
        <v>45806</v>
      </c>
      <c r="B180" s="1">
        <v>837</v>
      </c>
      <c r="C180" s="18" t="s">
        <v>40</v>
      </c>
      <c r="D180" s="1">
        <v>177</v>
      </c>
      <c r="E180" s="1">
        <v>177</v>
      </c>
      <c r="H180" s="15" t="s">
        <v>10</v>
      </c>
      <c r="I180" s="19"/>
    </row>
    <row r="181" spans="1:9">
      <c r="A181" s="8">
        <v>45806</v>
      </c>
      <c r="B181" s="1">
        <v>835</v>
      </c>
      <c r="C181" s="18" t="s">
        <v>64</v>
      </c>
      <c r="D181" s="1">
        <v>116</v>
      </c>
      <c r="E181" s="1">
        <v>116</v>
      </c>
      <c r="H181" s="15" t="s">
        <v>10</v>
      </c>
      <c r="I181" s="19"/>
    </row>
    <row r="182" spans="1:9">
      <c r="A182" s="8">
        <v>45806</v>
      </c>
      <c r="B182" s="1">
        <v>809</v>
      </c>
      <c r="C182" s="18" t="s">
        <v>38</v>
      </c>
      <c r="D182" s="1">
        <v>112</v>
      </c>
      <c r="E182" s="1">
        <v>112</v>
      </c>
      <c r="H182" s="15" t="s">
        <v>10</v>
      </c>
      <c r="I182" s="19"/>
    </row>
    <row r="183" spans="1:9">
      <c r="A183" s="8">
        <v>45806</v>
      </c>
      <c r="B183" s="1">
        <v>838</v>
      </c>
      <c r="C183" s="18" t="s">
        <v>41</v>
      </c>
      <c r="D183" s="1">
        <v>138</v>
      </c>
      <c r="E183" s="1">
        <v>138</v>
      </c>
      <c r="H183" s="15" t="s">
        <v>10</v>
      </c>
      <c r="I183" s="19"/>
    </row>
    <row r="184" spans="1:9">
      <c r="A184" s="8">
        <v>45806</v>
      </c>
      <c r="B184" s="1">
        <v>871</v>
      </c>
      <c r="C184" s="18" t="s">
        <v>63</v>
      </c>
      <c r="D184" s="1">
        <v>82</v>
      </c>
      <c r="E184" s="1">
        <v>82</v>
      </c>
      <c r="H184" s="15" t="s">
        <v>10</v>
      </c>
      <c r="I184" s="19"/>
    </row>
    <row r="185" spans="1:9">
      <c r="A185" s="8">
        <v>45806</v>
      </c>
      <c r="B185" s="1">
        <v>836</v>
      </c>
      <c r="C185" s="18" t="s">
        <v>136</v>
      </c>
      <c r="D185" s="1">
        <v>56</v>
      </c>
      <c r="E185" s="1">
        <v>56</v>
      </c>
      <c r="H185" s="15" t="s">
        <v>10</v>
      </c>
      <c r="I185" s="19"/>
    </row>
    <row r="186" spans="1:9">
      <c r="A186" s="8">
        <v>45806</v>
      </c>
      <c r="B186" s="1">
        <v>880</v>
      </c>
      <c r="C186" s="18" t="s">
        <v>32</v>
      </c>
      <c r="D186" s="1">
        <v>102</v>
      </c>
      <c r="E186" s="1">
        <v>102</v>
      </c>
      <c r="H186" s="15" t="s">
        <v>10</v>
      </c>
      <c r="I186" s="19"/>
    </row>
    <row r="187" spans="1:9">
      <c r="A187" s="8">
        <v>45806</v>
      </c>
      <c r="B187" s="1">
        <v>609</v>
      </c>
      <c r="C187" s="18" t="s">
        <v>33</v>
      </c>
      <c r="D187" s="1">
        <v>86</v>
      </c>
      <c r="E187" s="1">
        <v>86</v>
      </c>
      <c r="H187" s="15" t="s">
        <v>10</v>
      </c>
      <c r="I187" s="19"/>
    </row>
    <row r="188" spans="1:9">
      <c r="A188" s="8">
        <v>45806</v>
      </c>
      <c r="B188" s="1">
        <v>896</v>
      </c>
      <c r="C188" s="18" t="s">
        <v>31</v>
      </c>
      <c r="D188" s="1">
        <v>40</v>
      </c>
      <c r="E188" s="1">
        <v>40</v>
      </c>
      <c r="H188" s="15" t="s">
        <v>10</v>
      </c>
      <c r="I188" s="19"/>
    </row>
    <row r="189" spans="1:9">
      <c r="A189" s="8">
        <v>45806</v>
      </c>
      <c r="B189" s="1">
        <v>899</v>
      </c>
      <c r="C189" s="18" t="s">
        <v>134</v>
      </c>
      <c r="D189" s="1">
        <v>36</v>
      </c>
      <c r="E189" s="1">
        <v>36</v>
      </c>
      <c r="H189" s="15" t="s">
        <v>10</v>
      </c>
      <c r="I189" s="19"/>
    </row>
    <row r="190" spans="1:9">
      <c r="A190" s="8">
        <v>45806</v>
      </c>
      <c r="B190" s="1">
        <v>813</v>
      </c>
      <c r="C190" s="18" t="s">
        <v>49</v>
      </c>
      <c r="D190" s="1">
        <v>84</v>
      </c>
      <c r="E190" s="1">
        <v>84</v>
      </c>
      <c r="H190" s="15" t="s">
        <v>10</v>
      </c>
      <c r="I190" s="19"/>
    </row>
    <row r="191" spans="1:9">
      <c r="A191" s="8">
        <v>45806</v>
      </c>
      <c r="B191" s="1">
        <v>875</v>
      </c>
      <c r="C191" s="18" t="s">
        <v>42</v>
      </c>
      <c r="D191" s="1">
        <v>282</v>
      </c>
      <c r="E191" s="1">
        <v>282</v>
      </c>
      <c r="H191" s="15" t="s">
        <v>10</v>
      </c>
      <c r="I191" s="19"/>
    </row>
    <row r="192" spans="1:9">
      <c r="A192" s="8">
        <v>45806</v>
      </c>
      <c r="B192" s="1">
        <v>807</v>
      </c>
      <c r="C192" s="18" t="s">
        <v>52</v>
      </c>
      <c r="D192" s="1">
        <v>40</v>
      </c>
      <c r="E192" s="1">
        <v>40</v>
      </c>
      <c r="H192" s="15" t="s">
        <v>10</v>
      </c>
      <c r="I192" s="19"/>
    </row>
    <row r="193" spans="1:11">
      <c r="A193" s="8">
        <v>45807</v>
      </c>
      <c r="B193" s="1">
        <v>837</v>
      </c>
      <c r="C193" s="18" t="s">
        <v>40</v>
      </c>
      <c r="D193" s="1">
        <v>351</v>
      </c>
      <c r="E193" s="1">
        <v>351</v>
      </c>
      <c r="H193" s="15" t="s">
        <v>10</v>
      </c>
      <c r="I193" s="19">
        <f>SUM(E193:E198)</f>
        <v>1053</v>
      </c>
    </row>
    <row r="194" spans="1:11">
      <c r="A194" s="8">
        <v>45807</v>
      </c>
      <c r="B194" s="1">
        <v>809</v>
      </c>
      <c r="C194" s="18" t="s">
        <v>38</v>
      </c>
      <c r="D194" s="1">
        <v>123</v>
      </c>
      <c r="E194" s="1">
        <v>123</v>
      </c>
      <c r="H194" s="15" t="s">
        <v>10</v>
      </c>
      <c r="I194" s="19"/>
    </row>
    <row r="195" spans="1:11">
      <c r="A195" s="8">
        <v>45807</v>
      </c>
      <c r="B195" s="1">
        <v>836</v>
      </c>
      <c r="C195" s="18" t="s">
        <v>136</v>
      </c>
      <c r="D195" s="1">
        <v>52</v>
      </c>
      <c r="E195" s="1">
        <v>52</v>
      </c>
      <c r="H195" s="15" t="s">
        <v>10</v>
      </c>
      <c r="I195" s="19"/>
    </row>
    <row r="196" spans="1:11">
      <c r="A196" s="8">
        <v>45807</v>
      </c>
      <c r="B196" s="1">
        <v>875</v>
      </c>
      <c r="C196" s="18" t="s">
        <v>42</v>
      </c>
      <c r="D196" s="1">
        <v>196</v>
      </c>
      <c r="E196" s="1">
        <v>196</v>
      </c>
      <c r="H196" s="15" t="s">
        <v>10</v>
      </c>
      <c r="I196" s="19"/>
    </row>
    <row r="197" ht="24" spans="1:11">
      <c r="A197" s="8">
        <v>45807</v>
      </c>
      <c r="B197" s="1" t="s">
        <v>141</v>
      </c>
      <c r="C197" s="18" t="s">
        <v>142</v>
      </c>
      <c r="D197" s="1">
        <v>184</v>
      </c>
      <c r="E197" s="1">
        <v>184</v>
      </c>
      <c r="H197" s="15" t="s">
        <v>10</v>
      </c>
      <c r="I197" s="19"/>
    </row>
    <row r="198" spans="1:11">
      <c r="A198" s="8">
        <v>45807</v>
      </c>
      <c r="B198" s="1">
        <v>840</v>
      </c>
      <c r="C198" s="18" t="s">
        <v>47</v>
      </c>
      <c r="D198" s="1">
        <v>147</v>
      </c>
      <c r="E198" s="1">
        <v>147</v>
      </c>
      <c r="H198" s="15" t="s">
        <v>10</v>
      </c>
      <c r="I198" s="19"/>
    </row>
    <row r="199" spans="1:11">
      <c r="J199">
        <f>SUM(I2:I198)</f>
        <v>39072</v>
      </c>
      <c r="K199">
        <f>J199*0.05</f>
        <v>1953.6</v>
      </c>
    </row>
    <row r="201" spans="1:11">
      <c r="J201" t="s">
        <v>143</v>
      </c>
    </row>
    <row r="202" ht="81" spans="1:11">
      <c r="I202" s="23" t="s">
        <v>144</v>
      </c>
      <c r="J202">
        <f>SUM(J199+1659)</f>
        <v>40731</v>
      </c>
      <c r="K202">
        <f>J202*0.05</f>
        <v>2036.55</v>
      </c>
    </row>
  </sheetData>
  <mergeCells count="26">
    <mergeCell ref="I2:I11"/>
    <mergeCell ref="I12:I25"/>
    <mergeCell ref="I26:I33"/>
    <mergeCell ref="I34:I44"/>
    <mergeCell ref="I45:I54"/>
    <mergeCell ref="I55:I58"/>
    <mergeCell ref="I59:I68"/>
    <mergeCell ref="I69:I75"/>
    <mergeCell ref="I76:I85"/>
    <mergeCell ref="I86:I92"/>
    <mergeCell ref="I93:I98"/>
    <mergeCell ref="I99:I101"/>
    <mergeCell ref="I102:I105"/>
    <mergeCell ref="I106:I112"/>
    <mergeCell ref="I113:I119"/>
    <mergeCell ref="I120:I123"/>
    <mergeCell ref="I124:I129"/>
    <mergeCell ref="I130:I137"/>
    <mergeCell ref="I138:I144"/>
    <mergeCell ref="I145:I150"/>
    <mergeCell ref="I151:I155"/>
    <mergeCell ref="I156:I162"/>
    <mergeCell ref="I163:I167"/>
    <mergeCell ref="I168:I178"/>
    <mergeCell ref="I179:I192"/>
    <mergeCell ref="I193:I198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1"/>
  <sheetViews>
    <sheetView workbookViewId="0">
      <pane ySplit="1" topLeftCell="A3" activePane="bottomLeft" state="frozen"/>
      <selection/>
      <selection pane="bottomLeft" activeCell="A16" sqref="A16"/>
    </sheetView>
  </sheetViews>
  <sheetFormatPr defaultColWidth="10" defaultRowHeight="13.5"/>
  <cols>
    <col min="1" max="1" width="7.275" style="1" customWidth="1"/>
    <col min="2" max="2" width="5.21666666666667" style="1" customWidth="1"/>
    <col min="3" max="3" width="6.10833333333333" style="2" customWidth="1"/>
    <col min="4" max="7" width="9.21666666666667" style="1" customWidth="1"/>
    <col min="8" max="8" width="5.10833333333333" style="1" customWidth="1"/>
    <col min="9" max="9" width="5.21666666666667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45748</v>
      </c>
      <c r="B2" s="9">
        <v>609</v>
      </c>
      <c r="C2" s="10" t="s">
        <v>33</v>
      </c>
      <c r="D2" s="9">
        <v>1190</v>
      </c>
      <c r="E2" s="9">
        <v>1190</v>
      </c>
      <c r="F2" s="9"/>
      <c r="G2" s="9"/>
      <c r="H2" s="9" t="s">
        <v>10</v>
      </c>
      <c r="I2" s="11">
        <f>SUM(E2:E5)</f>
        <v>3994</v>
      </c>
    </row>
    <row r="3" spans="1:16">
      <c r="A3" s="8">
        <v>45748</v>
      </c>
      <c r="B3" s="12">
        <v>818</v>
      </c>
      <c r="C3" s="13" t="s">
        <v>37</v>
      </c>
      <c r="D3" s="12">
        <v>1008</v>
      </c>
      <c r="E3" s="12">
        <v>1008</v>
      </c>
      <c r="F3" s="12"/>
      <c r="G3" s="12"/>
      <c r="H3" s="12" t="s">
        <v>10</v>
      </c>
      <c r="I3" s="14"/>
    </row>
    <row r="4" spans="1:16">
      <c r="A4" s="8">
        <v>45748</v>
      </c>
      <c r="B4" s="12">
        <v>817</v>
      </c>
      <c r="C4" s="13" t="s">
        <v>36</v>
      </c>
      <c r="D4" s="12">
        <v>684</v>
      </c>
      <c r="E4" s="12">
        <v>684</v>
      </c>
      <c r="F4" s="12"/>
      <c r="G4" s="12"/>
      <c r="H4" s="12" t="s">
        <v>10</v>
      </c>
      <c r="I4" s="14"/>
    </row>
    <row r="5" spans="1:16">
      <c r="A5" s="8">
        <v>45748</v>
      </c>
      <c r="B5" s="12">
        <v>896</v>
      </c>
      <c r="C5" s="13" t="s">
        <v>31</v>
      </c>
      <c r="D5" s="12">
        <v>1112</v>
      </c>
      <c r="E5" s="12">
        <v>1112</v>
      </c>
      <c r="F5" s="12"/>
      <c r="G5" s="12"/>
      <c r="H5" s="12" t="s">
        <v>10</v>
      </c>
      <c r="I5" s="14"/>
    </row>
    <row r="6" spans="1:16">
      <c r="A6" s="8">
        <v>45749</v>
      </c>
      <c r="B6" s="12">
        <v>875</v>
      </c>
      <c r="C6" s="13" t="s">
        <v>42</v>
      </c>
      <c r="D6" s="12">
        <v>280</v>
      </c>
      <c r="E6" s="12">
        <v>280</v>
      </c>
      <c r="F6" s="12"/>
      <c r="G6" s="12"/>
      <c r="H6" s="12" t="s">
        <v>10</v>
      </c>
      <c r="I6" s="14">
        <f>SUM(E6:E16)</f>
        <v>5428</v>
      </c>
    </row>
    <row r="7" spans="1:16">
      <c r="A7" s="8">
        <v>45749</v>
      </c>
      <c r="B7" s="12">
        <v>810</v>
      </c>
      <c r="C7" s="13" t="s">
        <v>34</v>
      </c>
      <c r="D7" s="12">
        <v>244</v>
      </c>
      <c r="E7" s="12">
        <v>244</v>
      </c>
      <c r="F7" s="12"/>
      <c r="G7" s="12"/>
      <c r="H7" s="12" t="s">
        <v>10</v>
      </c>
      <c r="I7" s="14"/>
    </row>
    <row r="8" spans="1:16">
      <c r="A8" s="8">
        <v>45749</v>
      </c>
      <c r="B8" s="12">
        <v>809</v>
      </c>
      <c r="C8" s="13" t="s">
        <v>38</v>
      </c>
      <c r="D8" s="12">
        <v>436</v>
      </c>
      <c r="E8" s="12">
        <v>436</v>
      </c>
      <c r="F8" s="12"/>
      <c r="G8" s="12"/>
      <c r="H8" s="12" t="s">
        <v>10</v>
      </c>
      <c r="I8" s="14"/>
    </row>
    <row r="9" spans="1:16">
      <c r="A9" s="8">
        <v>45749</v>
      </c>
      <c r="B9" s="12">
        <v>885</v>
      </c>
      <c r="C9" s="13" t="s">
        <v>48</v>
      </c>
      <c r="D9" s="12">
        <v>404</v>
      </c>
      <c r="E9" s="12">
        <v>404</v>
      </c>
      <c r="F9" s="12"/>
      <c r="G9" s="12"/>
      <c r="H9" s="12" t="s">
        <v>10</v>
      </c>
      <c r="I9" s="14"/>
    </row>
    <row r="10" spans="1:16">
      <c r="A10" s="8">
        <v>45749</v>
      </c>
      <c r="B10" s="12">
        <v>613</v>
      </c>
      <c r="C10" s="13" t="s">
        <v>39</v>
      </c>
      <c r="D10" s="12">
        <v>384</v>
      </c>
      <c r="E10" s="12">
        <v>384</v>
      </c>
      <c r="F10" s="12"/>
      <c r="G10" s="12"/>
      <c r="H10" s="12" t="s">
        <v>10</v>
      </c>
      <c r="I10" s="14"/>
    </row>
    <row r="11" spans="1:16">
      <c r="A11" s="8">
        <v>45749</v>
      </c>
      <c r="B11" s="12">
        <v>871</v>
      </c>
      <c r="C11" s="13" t="s">
        <v>63</v>
      </c>
      <c r="D11" s="12">
        <v>312</v>
      </c>
      <c r="E11" s="12">
        <v>312</v>
      </c>
      <c r="F11" s="12"/>
      <c r="G11" s="12"/>
      <c r="H11" s="12" t="s">
        <v>10</v>
      </c>
      <c r="I11" s="14"/>
    </row>
    <row r="12" spans="1:16">
      <c r="A12" s="8">
        <v>45749</v>
      </c>
      <c r="B12" s="12">
        <v>609</v>
      </c>
      <c r="C12" s="13" t="s">
        <v>33</v>
      </c>
      <c r="D12" s="12">
        <v>926</v>
      </c>
      <c r="E12" s="12">
        <v>926</v>
      </c>
      <c r="F12" s="12"/>
      <c r="G12" s="12"/>
      <c r="H12" s="12" t="s">
        <v>10</v>
      </c>
      <c r="I12" s="14"/>
    </row>
    <row r="13" spans="1:16">
      <c r="A13" s="8">
        <v>45749</v>
      </c>
      <c r="B13" s="12">
        <v>813</v>
      </c>
      <c r="C13" s="13" t="s">
        <v>49</v>
      </c>
      <c r="D13" s="12">
        <v>714</v>
      </c>
      <c r="E13" s="12">
        <v>714</v>
      </c>
      <c r="F13" s="12"/>
      <c r="G13" s="12"/>
      <c r="H13" s="12" t="s">
        <v>10</v>
      </c>
      <c r="I13" s="14"/>
    </row>
    <row r="14" spans="1:16">
      <c r="A14" s="8">
        <v>45749</v>
      </c>
      <c r="B14" s="12">
        <v>818</v>
      </c>
      <c r="C14" s="13" t="s">
        <v>37</v>
      </c>
      <c r="D14" s="12">
        <v>1068</v>
      </c>
      <c r="E14" s="12">
        <v>1068</v>
      </c>
      <c r="F14" s="12"/>
      <c r="G14" s="12"/>
      <c r="H14" s="12" t="s">
        <v>10</v>
      </c>
      <c r="I14" s="14"/>
    </row>
    <row r="15" spans="1:16">
      <c r="A15" s="8">
        <v>45749</v>
      </c>
      <c r="B15" s="12">
        <v>817</v>
      </c>
      <c r="C15" s="13" t="s">
        <v>36</v>
      </c>
      <c r="D15" s="12">
        <v>456</v>
      </c>
      <c r="E15" s="12">
        <v>456</v>
      </c>
      <c r="F15" s="12"/>
      <c r="G15" s="12"/>
      <c r="H15" s="12" t="s">
        <v>10</v>
      </c>
      <c r="I15" s="14"/>
    </row>
    <row r="16" spans="1:16">
      <c r="A16" s="8">
        <v>45749</v>
      </c>
      <c r="B16" s="12">
        <v>9875</v>
      </c>
      <c r="C16" s="13" t="s">
        <v>43</v>
      </c>
      <c r="D16" s="12">
        <v>204</v>
      </c>
      <c r="E16" s="12">
        <v>204</v>
      </c>
      <c r="F16" s="12"/>
      <c r="G16" s="12"/>
      <c r="H16" s="12" t="s">
        <v>10</v>
      </c>
      <c r="I16" s="14"/>
    </row>
    <row r="17" spans="1:9">
      <c r="A17" s="8">
        <v>45750</v>
      </c>
      <c r="B17" s="12">
        <v>875</v>
      </c>
      <c r="C17" s="13" t="s">
        <v>42</v>
      </c>
      <c r="D17" s="12">
        <v>395</v>
      </c>
      <c r="E17" s="12">
        <v>395</v>
      </c>
      <c r="F17" s="12"/>
      <c r="G17" s="12"/>
      <c r="H17" s="12" t="s">
        <v>10</v>
      </c>
      <c r="I17" s="14">
        <f>SUM(E17:E33)</f>
        <v>8565</v>
      </c>
    </row>
    <row r="18" spans="1:9">
      <c r="A18" s="8">
        <v>45750</v>
      </c>
      <c r="B18" s="12">
        <v>807</v>
      </c>
      <c r="C18" s="13" t="s">
        <v>52</v>
      </c>
      <c r="D18" s="12">
        <v>248</v>
      </c>
      <c r="E18" s="12">
        <v>248</v>
      </c>
      <c r="F18" s="12"/>
      <c r="G18" s="12"/>
      <c r="H18" s="12" t="s">
        <v>10</v>
      </c>
      <c r="I18" s="14"/>
    </row>
    <row r="19" spans="1:9">
      <c r="A19" s="8">
        <v>45750</v>
      </c>
      <c r="B19" s="12">
        <v>809</v>
      </c>
      <c r="C19" s="13" t="s">
        <v>38</v>
      </c>
      <c r="D19" s="12">
        <v>292</v>
      </c>
      <c r="E19" s="12">
        <v>292</v>
      </c>
      <c r="F19" s="12"/>
      <c r="G19" s="12"/>
      <c r="H19" s="12" t="s">
        <v>10</v>
      </c>
      <c r="I19" s="14"/>
    </row>
    <row r="20" spans="1:9">
      <c r="A20" s="8">
        <v>45750</v>
      </c>
      <c r="B20" s="12">
        <v>885</v>
      </c>
      <c r="C20" s="13" t="s">
        <v>48</v>
      </c>
      <c r="D20" s="12">
        <v>252</v>
      </c>
      <c r="E20" s="12">
        <v>252</v>
      </c>
      <c r="F20" s="12"/>
      <c r="G20" s="12"/>
      <c r="H20" s="12" t="s">
        <v>10</v>
      </c>
      <c r="I20" s="14"/>
    </row>
    <row r="21" spans="1:9">
      <c r="A21" s="8">
        <v>45750</v>
      </c>
      <c r="B21" s="12">
        <v>613</v>
      </c>
      <c r="C21" s="13" t="s">
        <v>39</v>
      </c>
      <c r="D21" s="12">
        <v>220</v>
      </c>
      <c r="E21" s="12">
        <v>220</v>
      </c>
      <c r="F21" s="12"/>
      <c r="G21" s="12"/>
      <c r="H21" s="12" t="s">
        <v>10</v>
      </c>
      <c r="I21" s="14"/>
    </row>
    <row r="22" spans="1:9">
      <c r="A22" s="8">
        <v>45750</v>
      </c>
      <c r="B22" s="12">
        <v>609</v>
      </c>
      <c r="C22" s="13" t="s">
        <v>33</v>
      </c>
      <c r="D22" s="12">
        <v>982</v>
      </c>
      <c r="E22" s="12">
        <v>982</v>
      </c>
      <c r="F22" s="12"/>
      <c r="G22" s="12"/>
      <c r="H22" s="12" t="s">
        <v>10</v>
      </c>
      <c r="I22" s="14"/>
    </row>
    <row r="23" spans="1:9">
      <c r="A23" s="8">
        <v>45750</v>
      </c>
      <c r="B23" s="12">
        <v>880</v>
      </c>
      <c r="C23" s="13" t="s">
        <v>32</v>
      </c>
      <c r="D23" s="12">
        <v>534</v>
      </c>
      <c r="E23" s="12">
        <v>534</v>
      </c>
      <c r="F23" s="12"/>
      <c r="G23" s="12"/>
      <c r="H23" s="12" t="s">
        <v>10</v>
      </c>
      <c r="I23" s="14"/>
    </row>
    <row r="24" spans="1:9">
      <c r="A24" s="8">
        <v>45750</v>
      </c>
      <c r="B24" s="12">
        <v>875</v>
      </c>
      <c r="C24" s="13" t="s">
        <v>42</v>
      </c>
      <c r="D24" s="12">
        <v>378</v>
      </c>
      <c r="E24" s="12">
        <v>378</v>
      </c>
      <c r="F24" s="12"/>
      <c r="G24" s="12"/>
      <c r="H24" s="12" t="s">
        <v>10</v>
      </c>
      <c r="I24" s="14"/>
    </row>
    <row r="25" spans="1:9">
      <c r="A25" s="8">
        <v>45750</v>
      </c>
      <c r="B25" s="12">
        <v>817</v>
      </c>
      <c r="C25" s="13" t="s">
        <v>36</v>
      </c>
      <c r="D25" s="12">
        <v>810</v>
      </c>
      <c r="E25" s="12">
        <v>810</v>
      </c>
      <c r="F25" s="12"/>
      <c r="G25" s="12"/>
      <c r="H25" s="12" t="s">
        <v>10</v>
      </c>
      <c r="I25" s="14"/>
    </row>
    <row r="26" spans="1:9">
      <c r="A26" s="8">
        <v>45750</v>
      </c>
      <c r="B26" s="12">
        <v>609</v>
      </c>
      <c r="C26" s="13" t="s">
        <v>33</v>
      </c>
      <c r="D26" s="12">
        <v>852</v>
      </c>
      <c r="E26" s="12">
        <v>852</v>
      </c>
      <c r="F26" s="12"/>
      <c r="G26" s="12"/>
      <c r="H26" s="12" t="s">
        <v>10</v>
      </c>
      <c r="I26" s="14"/>
    </row>
    <row r="27" spans="1:9">
      <c r="A27" s="8">
        <v>45750</v>
      </c>
      <c r="B27" s="12">
        <v>818</v>
      </c>
      <c r="C27" s="13" t="s">
        <v>37</v>
      </c>
      <c r="D27" s="12">
        <v>762</v>
      </c>
      <c r="E27" s="12">
        <v>762</v>
      </c>
      <c r="F27" s="12"/>
      <c r="G27" s="12"/>
      <c r="H27" s="12" t="s">
        <v>10</v>
      </c>
      <c r="I27" s="14"/>
    </row>
    <row r="28" spans="1:9">
      <c r="A28" s="8">
        <v>45750</v>
      </c>
      <c r="B28" s="12">
        <v>896</v>
      </c>
      <c r="C28" s="13" t="s">
        <v>31</v>
      </c>
      <c r="D28" s="12">
        <v>660</v>
      </c>
      <c r="E28" s="12">
        <v>660</v>
      </c>
      <c r="F28" s="12"/>
      <c r="G28" s="12"/>
      <c r="H28" s="12" t="s">
        <v>10</v>
      </c>
      <c r="I28" s="14"/>
    </row>
    <row r="29" spans="1:9">
      <c r="A29" s="8">
        <v>45750</v>
      </c>
      <c r="B29" s="12">
        <v>810</v>
      </c>
      <c r="C29" s="13" t="s">
        <v>34</v>
      </c>
      <c r="D29" s="12">
        <v>404</v>
      </c>
      <c r="E29" s="12">
        <v>404</v>
      </c>
      <c r="F29" s="12"/>
      <c r="G29" s="12"/>
      <c r="H29" s="12" t="s">
        <v>10</v>
      </c>
      <c r="I29" s="14"/>
    </row>
    <row r="30" spans="1:9">
      <c r="A30" s="8">
        <v>45750</v>
      </c>
      <c r="B30" s="12">
        <v>9810</v>
      </c>
      <c r="C30" s="13" t="s">
        <v>35</v>
      </c>
      <c r="D30" s="12">
        <v>40</v>
      </c>
      <c r="E30" s="12">
        <v>40</v>
      </c>
      <c r="F30" s="12"/>
      <c r="G30" s="12"/>
      <c r="H30" s="12" t="s">
        <v>10</v>
      </c>
      <c r="I30" s="14"/>
    </row>
    <row r="31" spans="1:9">
      <c r="A31" s="8">
        <v>45750</v>
      </c>
      <c r="B31" s="12">
        <v>828</v>
      </c>
      <c r="C31" s="13" t="s">
        <v>51</v>
      </c>
      <c r="D31" s="12">
        <v>768</v>
      </c>
      <c r="E31" s="12">
        <v>768</v>
      </c>
      <c r="F31" s="12"/>
      <c r="G31" s="12"/>
      <c r="H31" s="12" t="s">
        <v>10</v>
      </c>
      <c r="I31" s="14"/>
    </row>
    <row r="32" spans="1:9">
      <c r="A32" s="8">
        <v>45750</v>
      </c>
      <c r="B32" s="12">
        <v>809</v>
      </c>
      <c r="C32" s="13" t="s">
        <v>38</v>
      </c>
      <c r="D32" s="12">
        <v>580</v>
      </c>
      <c r="E32" s="12">
        <v>580</v>
      </c>
      <c r="F32" s="12"/>
      <c r="G32" s="12"/>
      <c r="H32" s="12" t="s">
        <v>10</v>
      </c>
      <c r="I32" s="14"/>
    </row>
    <row r="33" s="21" customFormat="1" spans="1:9">
      <c r="A33" s="8">
        <v>45750</v>
      </c>
      <c r="B33" s="15">
        <v>613</v>
      </c>
      <c r="C33" s="16" t="s">
        <v>39</v>
      </c>
      <c r="D33" s="15">
        <v>388</v>
      </c>
      <c r="E33" s="15">
        <v>388</v>
      </c>
      <c r="F33" s="22"/>
      <c r="G33" s="22"/>
      <c r="H33" s="15" t="s">
        <v>10</v>
      </c>
      <c r="I33" s="17"/>
    </row>
    <row r="34" spans="1:9">
      <c r="A34" s="8">
        <v>45752</v>
      </c>
      <c r="B34" s="1">
        <v>871</v>
      </c>
      <c r="C34" s="18" t="s">
        <v>63</v>
      </c>
      <c r="D34" s="1">
        <v>328</v>
      </c>
      <c r="E34" s="1">
        <v>328</v>
      </c>
      <c r="H34" s="15" t="s">
        <v>10</v>
      </c>
      <c r="I34" s="19">
        <f>SUM(E34:E40)</f>
        <v>2140</v>
      </c>
    </row>
    <row r="35" spans="1:9">
      <c r="A35" s="8">
        <v>45752</v>
      </c>
      <c r="B35" s="1">
        <v>827</v>
      </c>
      <c r="C35" s="18" t="s">
        <v>50</v>
      </c>
      <c r="D35" s="1">
        <v>2</v>
      </c>
      <c r="E35" s="1">
        <v>2</v>
      </c>
      <c r="H35" s="15" t="s">
        <v>10</v>
      </c>
      <c r="I35" s="19"/>
    </row>
    <row r="36" spans="1:9">
      <c r="A36" s="8">
        <v>45752</v>
      </c>
      <c r="B36" s="1">
        <v>828</v>
      </c>
      <c r="C36" s="18" t="s">
        <v>51</v>
      </c>
      <c r="D36" s="1">
        <v>156</v>
      </c>
      <c r="E36" s="1">
        <v>156</v>
      </c>
      <c r="H36" s="15" t="s">
        <v>10</v>
      </c>
      <c r="I36" s="19"/>
    </row>
    <row r="37" spans="1:9">
      <c r="A37" s="8">
        <v>45752</v>
      </c>
      <c r="B37" s="1">
        <v>813</v>
      </c>
      <c r="C37" s="18" t="s">
        <v>49</v>
      </c>
      <c r="D37" s="1">
        <v>168</v>
      </c>
      <c r="E37" s="1">
        <v>168</v>
      </c>
      <c r="H37" s="15" t="s">
        <v>10</v>
      </c>
      <c r="I37" s="19"/>
    </row>
    <row r="38" spans="1:9">
      <c r="A38" s="8">
        <v>45752</v>
      </c>
      <c r="B38" s="1">
        <v>823</v>
      </c>
      <c r="C38" s="18" t="s">
        <v>139</v>
      </c>
      <c r="D38" s="1">
        <v>50</v>
      </c>
      <c r="E38" s="1">
        <v>50</v>
      </c>
      <c r="H38" s="15" t="s">
        <v>10</v>
      </c>
      <c r="I38" s="19"/>
    </row>
    <row r="39" spans="1:9">
      <c r="A39" s="8">
        <v>45752</v>
      </c>
      <c r="B39" s="1">
        <v>832</v>
      </c>
      <c r="C39" s="18" t="s">
        <v>140</v>
      </c>
      <c r="D39" s="1">
        <v>68</v>
      </c>
      <c r="E39" s="1">
        <v>68</v>
      </c>
      <c r="H39" s="15" t="s">
        <v>10</v>
      </c>
      <c r="I39" s="19"/>
    </row>
    <row r="40" spans="1:9">
      <c r="A40" s="8">
        <v>45752</v>
      </c>
      <c r="B40" s="1">
        <v>817</v>
      </c>
      <c r="C40" s="18" t="s">
        <v>36</v>
      </c>
      <c r="D40" s="1">
        <v>1368</v>
      </c>
      <c r="E40" s="1">
        <v>1368</v>
      </c>
      <c r="H40" s="15" t="s">
        <v>10</v>
      </c>
      <c r="I40" s="19"/>
    </row>
    <row r="41" spans="1:9">
      <c r="A41" s="8">
        <v>45753</v>
      </c>
      <c r="B41" s="1">
        <v>827</v>
      </c>
      <c r="C41" s="18" t="s">
        <v>50</v>
      </c>
      <c r="D41" s="1">
        <v>408</v>
      </c>
      <c r="E41" s="1">
        <v>408</v>
      </c>
      <c r="H41" s="15" t="s">
        <v>10</v>
      </c>
      <c r="I41" s="19">
        <f>SUM(E41:E47)</f>
        <v>4410</v>
      </c>
    </row>
    <row r="42" spans="1:9">
      <c r="A42" s="8">
        <v>45753</v>
      </c>
      <c r="B42" s="1">
        <v>809</v>
      </c>
      <c r="C42" s="18" t="s">
        <v>38</v>
      </c>
      <c r="D42" s="1">
        <v>312</v>
      </c>
      <c r="E42" s="1">
        <v>312</v>
      </c>
      <c r="H42" s="15" t="s">
        <v>10</v>
      </c>
      <c r="I42" s="19"/>
    </row>
    <row r="43" spans="1:9">
      <c r="A43" s="8">
        <v>45753</v>
      </c>
      <c r="B43" s="1">
        <v>875</v>
      </c>
      <c r="C43" s="18" t="s">
        <v>42</v>
      </c>
      <c r="D43" s="1">
        <v>60</v>
      </c>
      <c r="E43" s="1">
        <v>60</v>
      </c>
      <c r="H43" s="15" t="s">
        <v>10</v>
      </c>
      <c r="I43" s="19"/>
    </row>
    <row r="44" spans="1:9">
      <c r="A44" s="8">
        <v>45753</v>
      </c>
      <c r="B44" s="1">
        <v>818</v>
      </c>
      <c r="C44" s="18" t="s">
        <v>37</v>
      </c>
      <c r="D44" s="1">
        <v>264</v>
      </c>
      <c r="E44" s="1">
        <v>264</v>
      </c>
      <c r="H44" s="15" t="s">
        <v>10</v>
      </c>
      <c r="I44" s="19"/>
    </row>
    <row r="45" spans="1:9">
      <c r="A45" s="8">
        <v>45753</v>
      </c>
      <c r="B45" s="1">
        <v>817</v>
      </c>
      <c r="C45" s="18" t="s">
        <v>36</v>
      </c>
      <c r="D45" s="1">
        <v>1026</v>
      </c>
      <c r="E45" s="1">
        <v>1026</v>
      </c>
      <c r="H45" s="15" t="s">
        <v>10</v>
      </c>
      <c r="I45" s="19"/>
    </row>
    <row r="46" spans="1:9">
      <c r="A46" s="8">
        <v>45753</v>
      </c>
      <c r="B46" s="1">
        <v>609</v>
      </c>
      <c r="C46" s="18" t="s">
        <v>33</v>
      </c>
      <c r="D46" s="1">
        <v>610</v>
      </c>
      <c r="E46" s="1">
        <v>610</v>
      </c>
      <c r="H46" s="15" t="s">
        <v>10</v>
      </c>
      <c r="I46" s="19"/>
    </row>
    <row r="47" spans="1:9">
      <c r="A47" s="8">
        <v>45753</v>
      </c>
      <c r="B47" s="1">
        <v>817</v>
      </c>
      <c r="C47" s="18" t="s">
        <v>36</v>
      </c>
      <c r="D47" s="1">
        <v>1730</v>
      </c>
      <c r="E47" s="1">
        <v>1730</v>
      </c>
      <c r="H47" s="15" t="s">
        <v>10</v>
      </c>
      <c r="I47" s="19"/>
    </row>
    <row r="48" spans="1:9">
      <c r="A48" s="8">
        <v>45754</v>
      </c>
      <c r="B48" s="1">
        <v>885</v>
      </c>
      <c r="C48" s="18" t="s">
        <v>48</v>
      </c>
      <c r="D48" s="1">
        <v>244</v>
      </c>
      <c r="E48" s="1">
        <v>244</v>
      </c>
      <c r="H48" s="15" t="s">
        <v>10</v>
      </c>
      <c r="I48" s="19">
        <f>SUM(E48:E53)</f>
        <v>1749</v>
      </c>
    </row>
    <row r="49" spans="1:9">
      <c r="A49" s="8">
        <v>45754</v>
      </c>
      <c r="B49" s="1">
        <v>896</v>
      </c>
      <c r="C49" s="18" t="s">
        <v>31</v>
      </c>
      <c r="D49" s="1">
        <v>300</v>
      </c>
      <c r="E49" s="1">
        <v>300</v>
      </c>
      <c r="H49" s="15" t="s">
        <v>10</v>
      </c>
      <c r="I49" s="19"/>
    </row>
    <row r="50" spans="1:9">
      <c r="A50" s="8">
        <v>45754</v>
      </c>
      <c r="B50" s="1">
        <v>817</v>
      </c>
      <c r="C50" s="18" t="s">
        <v>36</v>
      </c>
      <c r="D50" s="1">
        <v>582</v>
      </c>
      <c r="E50" s="1">
        <v>582</v>
      </c>
      <c r="H50" s="15" t="s">
        <v>10</v>
      </c>
      <c r="I50" s="19"/>
    </row>
    <row r="51" spans="1:9">
      <c r="A51" s="8">
        <v>45754</v>
      </c>
      <c r="B51" s="1">
        <v>813</v>
      </c>
      <c r="C51" s="18" t="s">
        <v>49</v>
      </c>
      <c r="D51" s="1">
        <v>408</v>
      </c>
      <c r="E51" s="1">
        <v>408</v>
      </c>
      <c r="H51" s="15" t="s">
        <v>10</v>
      </c>
      <c r="I51" s="19"/>
    </row>
    <row r="52" spans="1:9">
      <c r="A52" s="8">
        <v>45754</v>
      </c>
      <c r="B52" s="1">
        <v>9875</v>
      </c>
      <c r="C52" s="18" t="s">
        <v>43</v>
      </c>
      <c r="D52" s="1">
        <v>62</v>
      </c>
      <c r="E52" s="1">
        <v>62</v>
      </c>
      <c r="H52" s="15" t="s">
        <v>10</v>
      </c>
      <c r="I52" s="19"/>
    </row>
    <row r="53" spans="1:9">
      <c r="A53" s="8">
        <v>45754</v>
      </c>
      <c r="B53" s="1">
        <v>828</v>
      </c>
      <c r="C53" s="18" t="s">
        <v>51</v>
      </c>
      <c r="D53" s="1">
        <v>153</v>
      </c>
      <c r="E53" s="1">
        <v>153</v>
      </c>
      <c r="H53" s="15" t="s">
        <v>10</v>
      </c>
      <c r="I53" s="19"/>
    </row>
    <row r="54" spans="1:9">
      <c r="A54" s="8">
        <v>45755</v>
      </c>
      <c r="B54" s="1">
        <v>896</v>
      </c>
      <c r="C54" s="18" t="s">
        <v>31</v>
      </c>
      <c r="D54" s="1">
        <v>648</v>
      </c>
      <c r="E54" s="1">
        <v>648</v>
      </c>
      <c r="H54" s="15" t="s">
        <v>10</v>
      </c>
      <c r="I54" s="19">
        <f>SUM(E54:E63)</f>
        <v>2532</v>
      </c>
    </row>
    <row r="55" spans="1:9">
      <c r="A55" s="8">
        <v>45755</v>
      </c>
      <c r="B55" s="1">
        <v>880</v>
      </c>
      <c r="C55" s="18" t="s">
        <v>32</v>
      </c>
      <c r="D55" s="1">
        <v>274</v>
      </c>
      <c r="E55" s="1">
        <v>274</v>
      </c>
      <c r="H55" s="15" t="s">
        <v>10</v>
      </c>
      <c r="I55" s="19"/>
    </row>
    <row r="56" spans="1:9">
      <c r="A56" s="8">
        <v>45755</v>
      </c>
      <c r="B56" s="1">
        <v>885</v>
      </c>
      <c r="C56" s="18" t="s">
        <v>48</v>
      </c>
      <c r="D56" s="1">
        <v>260</v>
      </c>
      <c r="E56" s="1">
        <v>260</v>
      </c>
      <c r="H56" s="15" t="s">
        <v>10</v>
      </c>
      <c r="I56" s="19"/>
    </row>
    <row r="57" spans="1:9">
      <c r="A57" s="8">
        <v>45755</v>
      </c>
      <c r="B57" s="1">
        <v>809</v>
      </c>
      <c r="C57" s="18" t="s">
        <v>38</v>
      </c>
      <c r="D57" s="1">
        <v>272</v>
      </c>
      <c r="E57" s="1">
        <v>272</v>
      </c>
      <c r="H57" s="15" t="s">
        <v>10</v>
      </c>
      <c r="I57" s="19"/>
    </row>
    <row r="58" spans="1:9">
      <c r="A58" s="8">
        <v>45755</v>
      </c>
      <c r="B58" s="1">
        <v>871</v>
      </c>
      <c r="C58" s="18" t="s">
        <v>63</v>
      </c>
      <c r="D58" s="1">
        <v>208</v>
      </c>
      <c r="E58" s="1">
        <v>208</v>
      </c>
      <c r="H58" s="15" t="s">
        <v>10</v>
      </c>
      <c r="I58" s="19"/>
    </row>
    <row r="59" spans="1:9">
      <c r="A59" s="8">
        <v>45755</v>
      </c>
      <c r="B59" s="1">
        <v>613</v>
      </c>
      <c r="C59" s="18" t="s">
        <v>39</v>
      </c>
      <c r="D59" s="1">
        <v>236</v>
      </c>
      <c r="E59" s="1">
        <v>236</v>
      </c>
      <c r="H59" s="15" t="s">
        <v>10</v>
      </c>
      <c r="I59" s="19"/>
    </row>
    <row r="60" spans="1:9">
      <c r="A60" s="8">
        <v>45755</v>
      </c>
      <c r="B60" s="1">
        <v>875</v>
      </c>
      <c r="C60" s="18" t="s">
        <v>42</v>
      </c>
      <c r="D60" s="1">
        <v>328</v>
      </c>
      <c r="E60" s="1">
        <v>328</v>
      </c>
      <c r="H60" s="15" t="s">
        <v>10</v>
      </c>
      <c r="I60" s="19"/>
    </row>
    <row r="61" spans="1:9">
      <c r="A61" s="8">
        <v>45755</v>
      </c>
      <c r="B61" s="1">
        <v>807</v>
      </c>
      <c r="C61" s="18" t="s">
        <v>52</v>
      </c>
      <c r="D61" s="1">
        <v>160</v>
      </c>
      <c r="E61" s="1">
        <v>160</v>
      </c>
      <c r="H61" s="15" t="s">
        <v>10</v>
      </c>
      <c r="I61" s="19"/>
    </row>
    <row r="62" spans="1:9">
      <c r="A62" s="8">
        <v>45755</v>
      </c>
      <c r="B62" s="1">
        <v>828</v>
      </c>
      <c r="C62" s="18" t="s">
        <v>51</v>
      </c>
      <c r="D62" s="1">
        <v>126</v>
      </c>
      <c r="E62" s="1">
        <v>126</v>
      </c>
      <c r="H62" s="15" t="s">
        <v>10</v>
      </c>
      <c r="I62" s="19"/>
    </row>
    <row r="63" spans="1:9">
      <c r="A63" s="8">
        <v>45755</v>
      </c>
      <c r="B63" s="1">
        <v>9810</v>
      </c>
      <c r="C63" s="18" t="s">
        <v>35</v>
      </c>
      <c r="D63" s="1">
        <v>20</v>
      </c>
      <c r="E63" s="1">
        <v>20</v>
      </c>
      <c r="H63" s="15" t="s">
        <v>10</v>
      </c>
      <c r="I63" s="19"/>
    </row>
    <row r="64" spans="1:9">
      <c r="A64" s="8">
        <v>45756</v>
      </c>
      <c r="B64" s="1">
        <v>809</v>
      </c>
      <c r="C64" s="18" t="s">
        <v>38</v>
      </c>
      <c r="D64" s="1">
        <v>956</v>
      </c>
      <c r="E64" s="1">
        <v>956</v>
      </c>
      <c r="H64" s="15" t="s">
        <v>10</v>
      </c>
      <c r="I64" s="19">
        <f>SUM(E64:E72)</f>
        <v>4588</v>
      </c>
    </row>
    <row r="65" spans="1:9">
      <c r="A65" s="8">
        <v>45756</v>
      </c>
      <c r="B65" s="1">
        <v>613</v>
      </c>
      <c r="C65" s="18" t="s">
        <v>39</v>
      </c>
      <c r="D65" s="1">
        <v>560</v>
      </c>
      <c r="E65" s="1">
        <v>560</v>
      </c>
      <c r="H65" s="15" t="s">
        <v>10</v>
      </c>
      <c r="I65" s="19"/>
    </row>
    <row r="66" spans="1:9">
      <c r="A66" s="8">
        <v>45756</v>
      </c>
      <c r="B66" s="1">
        <v>885</v>
      </c>
      <c r="C66" s="18" t="s">
        <v>48</v>
      </c>
      <c r="D66" s="1">
        <v>548</v>
      </c>
      <c r="E66" s="1">
        <v>548</v>
      </c>
      <c r="H66" s="15" t="s">
        <v>10</v>
      </c>
      <c r="I66" s="19"/>
    </row>
    <row r="67" spans="1:9">
      <c r="A67" s="8">
        <v>45756</v>
      </c>
      <c r="B67" s="1">
        <v>871</v>
      </c>
      <c r="C67" s="18" t="s">
        <v>63</v>
      </c>
      <c r="D67" s="1">
        <v>324</v>
      </c>
      <c r="E67" s="1">
        <v>324</v>
      </c>
      <c r="H67" s="15" t="s">
        <v>10</v>
      </c>
      <c r="I67" s="19"/>
    </row>
    <row r="68" spans="1:9">
      <c r="A68" s="8">
        <v>45756</v>
      </c>
      <c r="B68" s="1">
        <v>827</v>
      </c>
      <c r="C68" s="18" t="s">
        <v>50</v>
      </c>
      <c r="D68" s="1">
        <v>264</v>
      </c>
      <c r="E68" s="1">
        <v>264</v>
      </c>
      <c r="H68" s="15" t="s">
        <v>10</v>
      </c>
      <c r="I68" s="19"/>
    </row>
    <row r="69" spans="1:9">
      <c r="A69" s="8">
        <v>45756</v>
      </c>
      <c r="B69" s="1">
        <v>828</v>
      </c>
      <c r="C69" s="18" t="s">
        <v>51</v>
      </c>
      <c r="D69" s="1">
        <v>132</v>
      </c>
      <c r="E69" s="1">
        <v>132</v>
      </c>
      <c r="H69" s="15" t="s">
        <v>10</v>
      </c>
      <c r="I69" s="19"/>
    </row>
    <row r="70" spans="1:9">
      <c r="A70" s="8">
        <v>45756</v>
      </c>
      <c r="B70" s="1">
        <v>807</v>
      </c>
      <c r="C70" s="18" t="s">
        <v>52</v>
      </c>
      <c r="D70" s="1">
        <v>316</v>
      </c>
      <c r="E70" s="1">
        <v>316</v>
      </c>
      <c r="H70" s="15" t="s">
        <v>10</v>
      </c>
      <c r="I70" s="19"/>
    </row>
    <row r="71" spans="1:9">
      <c r="A71" s="8">
        <v>45756</v>
      </c>
      <c r="B71" s="1">
        <v>813</v>
      </c>
      <c r="C71" s="18" t="s">
        <v>49</v>
      </c>
      <c r="D71" s="1">
        <v>570</v>
      </c>
      <c r="E71" s="1">
        <v>570</v>
      </c>
      <c r="H71" s="15" t="s">
        <v>10</v>
      </c>
      <c r="I71" s="19"/>
    </row>
    <row r="72" spans="1:9">
      <c r="A72" s="8">
        <v>45756</v>
      </c>
      <c r="B72" s="1">
        <v>896</v>
      </c>
      <c r="C72" s="18" t="s">
        <v>31</v>
      </c>
      <c r="D72" s="1">
        <v>918</v>
      </c>
      <c r="E72" s="1">
        <v>918</v>
      </c>
      <c r="H72" s="15" t="s">
        <v>10</v>
      </c>
      <c r="I72" s="19"/>
    </row>
    <row r="73" spans="1:9">
      <c r="A73" s="8">
        <v>45757</v>
      </c>
      <c r="B73" s="1">
        <v>609</v>
      </c>
      <c r="C73" s="18" t="s">
        <v>33</v>
      </c>
      <c r="D73" s="1">
        <v>606</v>
      </c>
      <c r="E73" s="1">
        <v>606</v>
      </c>
      <c r="H73" s="15" t="s">
        <v>10</v>
      </c>
      <c r="I73" s="19">
        <f>SUM(E73:E83)</f>
        <v>4616</v>
      </c>
    </row>
    <row r="74" spans="1:9">
      <c r="A74" s="8">
        <v>45757</v>
      </c>
      <c r="B74" s="1">
        <v>818</v>
      </c>
      <c r="C74" s="18" t="s">
        <v>37</v>
      </c>
      <c r="D74" s="1">
        <v>268</v>
      </c>
      <c r="E74" s="1">
        <v>268</v>
      </c>
      <c r="H74" s="15" t="s">
        <v>10</v>
      </c>
      <c r="I74" s="19"/>
    </row>
    <row r="75" spans="1:9">
      <c r="A75" s="8">
        <v>45757</v>
      </c>
      <c r="B75" s="1">
        <v>817</v>
      </c>
      <c r="C75" s="18" t="s">
        <v>36</v>
      </c>
      <c r="D75" s="1">
        <v>1690</v>
      </c>
      <c r="E75" s="1">
        <v>1690</v>
      </c>
      <c r="H75" s="15" t="s">
        <v>10</v>
      </c>
      <c r="I75" s="19"/>
    </row>
    <row r="76" spans="1:9">
      <c r="A76" s="8">
        <v>45757</v>
      </c>
      <c r="B76" s="1">
        <v>899</v>
      </c>
      <c r="C76" s="18" t="s">
        <v>134</v>
      </c>
      <c r="D76" s="1">
        <v>60</v>
      </c>
      <c r="E76" s="1">
        <v>60</v>
      </c>
      <c r="H76" s="15" t="s">
        <v>10</v>
      </c>
      <c r="I76" s="19"/>
    </row>
    <row r="77" spans="1:9">
      <c r="A77" s="8">
        <v>45757</v>
      </c>
      <c r="B77" s="1">
        <v>875</v>
      </c>
      <c r="C77" s="18" t="s">
        <v>42</v>
      </c>
      <c r="D77" s="1">
        <v>112</v>
      </c>
      <c r="E77" s="1">
        <v>112</v>
      </c>
      <c r="H77" s="15" t="s">
        <v>10</v>
      </c>
      <c r="I77" s="19"/>
    </row>
    <row r="78" spans="1:9">
      <c r="A78" s="8">
        <v>45757</v>
      </c>
      <c r="B78" s="1">
        <v>807</v>
      </c>
      <c r="C78" s="18" t="s">
        <v>52</v>
      </c>
      <c r="D78" s="1">
        <v>228</v>
      </c>
      <c r="E78" s="1">
        <v>228</v>
      </c>
      <c r="H78" s="15" t="s">
        <v>10</v>
      </c>
      <c r="I78" s="19"/>
    </row>
    <row r="79" spans="1:9">
      <c r="A79" s="8">
        <v>45757</v>
      </c>
      <c r="B79" s="1">
        <v>827</v>
      </c>
      <c r="C79" s="18" t="s">
        <v>50</v>
      </c>
      <c r="D79" s="1">
        <v>165</v>
      </c>
      <c r="E79" s="1">
        <v>165</v>
      </c>
      <c r="H79" s="15" t="s">
        <v>10</v>
      </c>
      <c r="I79" s="19"/>
    </row>
    <row r="80" spans="1:9">
      <c r="A80" s="8">
        <v>45757</v>
      </c>
      <c r="B80" s="1">
        <v>888</v>
      </c>
      <c r="C80" s="18" t="s">
        <v>135</v>
      </c>
      <c r="D80" s="1">
        <v>123</v>
      </c>
      <c r="E80" s="1">
        <v>123</v>
      </c>
      <c r="H80" s="15" t="s">
        <v>10</v>
      </c>
      <c r="I80" s="19"/>
    </row>
    <row r="81" spans="1:9">
      <c r="A81" s="8">
        <v>45757</v>
      </c>
      <c r="B81" s="1">
        <v>810</v>
      </c>
      <c r="C81" s="18" t="s">
        <v>34</v>
      </c>
      <c r="D81" s="1">
        <v>114</v>
      </c>
      <c r="E81" s="1">
        <v>114</v>
      </c>
      <c r="H81" s="15" t="s">
        <v>10</v>
      </c>
      <c r="I81" s="19"/>
    </row>
    <row r="82" spans="1:9">
      <c r="A82" s="8">
        <v>45757</v>
      </c>
      <c r="B82" s="1">
        <v>809</v>
      </c>
      <c r="C82" s="18" t="s">
        <v>38</v>
      </c>
      <c r="D82" s="1">
        <v>705</v>
      </c>
      <c r="E82" s="1">
        <v>705</v>
      </c>
      <c r="H82" s="15" t="s">
        <v>10</v>
      </c>
      <c r="I82" s="19"/>
    </row>
    <row r="83" spans="1:9">
      <c r="A83" s="8">
        <v>45757</v>
      </c>
      <c r="B83" s="1">
        <v>871</v>
      </c>
      <c r="C83" s="18" t="s">
        <v>63</v>
      </c>
      <c r="D83" s="1">
        <v>545</v>
      </c>
      <c r="E83" s="1">
        <v>545</v>
      </c>
      <c r="H83" s="15" t="s">
        <v>10</v>
      </c>
      <c r="I83" s="19"/>
    </row>
    <row r="84" spans="1:9">
      <c r="A84" s="8">
        <v>45758</v>
      </c>
      <c r="B84" s="1">
        <v>809</v>
      </c>
      <c r="C84" s="18" t="s">
        <v>38</v>
      </c>
      <c r="D84" s="1">
        <v>1090</v>
      </c>
      <c r="E84" s="1">
        <v>1090</v>
      </c>
      <c r="H84" s="15" t="s">
        <v>10</v>
      </c>
      <c r="I84" s="19">
        <f>SUM(E84:E94)</f>
        <v>4588</v>
      </c>
    </row>
    <row r="85" spans="1:9">
      <c r="A85" s="8">
        <v>45758</v>
      </c>
      <c r="B85" s="1">
        <v>613</v>
      </c>
      <c r="C85" s="18" t="s">
        <v>39</v>
      </c>
      <c r="D85" s="1">
        <v>600</v>
      </c>
      <c r="E85" s="1">
        <v>600</v>
      </c>
      <c r="H85" s="15" t="s">
        <v>10</v>
      </c>
      <c r="I85" s="19"/>
    </row>
    <row r="86" spans="1:9">
      <c r="A86" s="8">
        <v>45758</v>
      </c>
      <c r="B86" s="1">
        <v>875</v>
      </c>
      <c r="C86" s="18" t="s">
        <v>42</v>
      </c>
      <c r="D86" s="1">
        <v>592</v>
      </c>
      <c r="E86" s="1">
        <v>592</v>
      </c>
      <c r="H86" s="15" t="s">
        <v>10</v>
      </c>
      <c r="I86" s="19"/>
    </row>
    <row r="87" spans="1:9">
      <c r="A87" s="8">
        <v>45758</v>
      </c>
      <c r="B87" s="1">
        <v>807</v>
      </c>
      <c r="C87" s="18" t="s">
        <v>52</v>
      </c>
      <c r="D87" s="1">
        <v>388</v>
      </c>
      <c r="E87" s="1">
        <v>388</v>
      </c>
      <c r="H87" s="15" t="s">
        <v>10</v>
      </c>
      <c r="I87" s="19"/>
    </row>
    <row r="88" spans="1:9">
      <c r="A88" s="8">
        <v>45758</v>
      </c>
      <c r="B88" s="1">
        <v>810</v>
      </c>
      <c r="C88" s="18" t="s">
        <v>34</v>
      </c>
      <c r="D88" s="1">
        <v>210</v>
      </c>
      <c r="E88" s="1">
        <v>210</v>
      </c>
      <c r="H88" s="15" t="s">
        <v>10</v>
      </c>
      <c r="I88" s="19"/>
    </row>
    <row r="89" spans="1:9">
      <c r="A89" s="8">
        <v>45758</v>
      </c>
      <c r="B89" s="1">
        <v>609</v>
      </c>
      <c r="C89" s="18" t="s">
        <v>33</v>
      </c>
      <c r="D89" s="1">
        <v>448</v>
      </c>
      <c r="E89" s="1">
        <v>448</v>
      </c>
      <c r="H89" s="15" t="s">
        <v>10</v>
      </c>
      <c r="I89" s="19"/>
    </row>
    <row r="90" spans="1:9">
      <c r="A90" s="8">
        <v>45758</v>
      </c>
      <c r="B90" s="1">
        <v>601</v>
      </c>
      <c r="C90" s="18" t="s">
        <v>145</v>
      </c>
      <c r="D90" s="1">
        <v>84</v>
      </c>
      <c r="E90" s="1">
        <v>84</v>
      </c>
      <c r="H90" s="15" t="s">
        <v>10</v>
      </c>
      <c r="I90" s="19"/>
    </row>
    <row r="91" spans="1:9">
      <c r="A91" s="8">
        <v>45758</v>
      </c>
      <c r="B91" s="1">
        <v>896</v>
      </c>
      <c r="C91" s="18" t="s">
        <v>31</v>
      </c>
      <c r="D91" s="1">
        <v>456</v>
      </c>
      <c r="E91" s="1">
        <v>456</v>
      </c>
      <c r="H91" s="15" t="s">
        <v>10</v>
      </c>
      <c r="I91" s="19"/>
    </row>
    <row r="92" spans="1:9">
      <c r="A92" s="8">
        <v>45758</v>
      </c>
      <c r="B92" s="1">
        <v>880</v>
      </c>
      <c r="C92" s="18" t="s">
        <v>32</v>
      </c>
      <c r="D92" s="1">
        <v>357</v>
      </c>
      <c r="E92" s="1">
        <v>357</v>
      </c>
      <c r="H92" s="15" t="s">
        <v>10</v>
      </c>
      <c r="I92" s="19"/>
    </row>
    <row r="93" spans="1:9">
      <c r="A93" s="8">
        <v>45758</v>
      </c>
      <c r="B93" s="1">
        <v>827</v>
      </c>
      <c r="C93" s="18" t="s">
        <v>50</v>
      </c>
      <c r="D93" s="1">
        <v>201</v>
      </c>
      <c r="E93" s="1">
        <v>201</v>
      </c>
      <c r="H93" s="15" t="s">
        <v>10</v>
      </c>
      <c r="I93" s="19"/>
    </row>
    <row r="94" spans="1:9">
      <c r="A94" s="8">
        <v>45758</v>
      </c>
      <c r="B94" s="1">
        <v>828</v>
      </c>
      <c r="C94" s="18" t="s">
        <v>51</v>
      </c>
      <c r="D94" s="1">
        <v>162</v>
      </c>
      <c r="E94" s="1">
        <v>162</v>
      </c>
      <c r="H94" s="15" t="s">
        <v>10</v>
      </c>
      <c r="I94" s="19"/>
    </row>
    <row r="95" spans="1:9">
      <c r="A95" s="8">
        <v>45759</v>
      </c>
      <c r="B95" s="1">
        <v>613</v>
      </c>
      <c r="C95" s="18" t="s">
        <v>39</v>
      </c>
      <c r="D95" s="1">
        <v>1060</v>
      </c>
      <c r="E95" s="1">
        <v>1060</v>
      </c>
      <c r="H95" s="15" t="s">
        <v>10</v>
      </c>
      <c r="I95" s="19">
        <f>SUM(E95:E105)</f>
        <v>6305</v>
      </c>
    </row>
    <row r="96" spans="1:9">
      <c r="A96" s="8">
        <v>45759</v>
      </c>
      <c r="B96" s="1">
        <v>809</v>
      </c>
      <c r="C96" s="18" t="s">
        <v>38</v>
      </c>
      <c r="D96" s="1">
        <v>880</v>
      </c>
      <c r="E96" s="1">
        <v>880</v>
      </c>
      <c r="H96" s="15" t="s">
        <v>10</v>
      </c>
      <c r="I96" s="19"/>
    </row>
    <row r="97" spans="1:9">
      <c r="A97" s="8">
        <v>45759</v>
      </c>
      <c r="B97" s="1">
        <v>885</v>
      </c>
      <c r="C97" s="18" t="s">
        <v>48</v>
      </c>
      <c r="D97" s="1">
        <v>448</v>
      </c>
      <c r="E97" s="1">
        <v>448</v>
      </c>
      <c r="H97" s="15" t="s">
        <v>10</v>
      </c>
      <c r="I97" s="19"/>
    </row>
    <row r="98" spans="1:9">
      <c r="A98" s="8">
        <v>45759</v>
      </c>
      <c r="B98" s="1">
        <v>871</v>
      </c>
      <c r="C98" s="18" t="s">
        <v>63</v>
      </c>
      <c r="D98" s="1">
        <v>436</v>
      </c>
      <c r="E98" s="1">
        <v>436</v>
      </c>
      <c r="H98" s="15" t="s">
        <v>10</v>
      </c>
      <c r="I98" s="19"/>
    </row>
    <row r="99" spans="1:9">
      <c r="A99" s="8">
        <v>45759</v>
      </c>
      <c r="B99" s="1">
        <v>609</v>
      </c>
      <c r="C99" s="18" t="s">
        <v>33</v>
      </c>
      <c r="D99" s="1">
        <v>546</v>
      </c>
      <c r="E99" s="1">
        <v>546</v>
      </c>
      <c r="H99" s="15" t="s">
        <v>10</v>
      </c>
      <c r="I99" s="19"/>
    </row>
    <row r="100" spans="1:9">
      <c r="A100" s="8">
        <v>45759</v>
      </c>
      <c r="B100" s="1">
        <v>818</v>
      </c>
      <c r="C100" s="18" t="s">
        <v>37</v>
      </c>
      <c r="D100" s="1">
        <v>380</v>
      </c>
      <c r="E100" s="1">
        <v>380</v>
      </c>
      <c r="H100" s="15" t="s">
        <v>10</v>
      </c>
      <c r="I100" s="19"/>
    </row>
    <row r="101" spans="1:9">
      <c r="A101" s="8">
        <v>45759</v>
      </c>
      <c r="B101" s="1">
        <v>875</v>
      </c>
      <c r="C101" s="18" t="s">
        <v>42</v>
      </c>
      <c r="D101" s="1">
        <v>930</v>
      </c>
      <c r="E101" s="1">
        <v>930</v>
      </c>
      <c r="H101" s="15" t="s">
        <v>10</v>
      </c>
      <c r="I101" s="19"/>
    </row>
    <row r="102" spans="1:9">
      <c r="A102" s="8">
        <v>45759</v>
      </c>
      <c r="B102" s="1">
        <v>827</v>
      </c>
      <c r="C102" s="18" t="s">
        <v>50</v>
      </c>
      <c r="D102" s="1">
        <v>336</v>
      </c>
      <c r="E102" s="1">
        <v>336</v>
      </c>
      <c r="H102" s="15" t="s">
        <v>10</v>
      </c>
      <c r="I102" s="19"/>
    </row>
    <row r="103" spans="1:9">
      <c r="A103" s="8">
        <v>45759</v>
      </c>
      <c r="B103" s="1">
        <v>828</v>
      </c>
      <c r="C103" s="18" t="s">
        <v>51</v>
      </c>
      <c r="D103" s="1">
        <v>285</v>
      </c>
      <c r="E103" s="1">
        <v>285</v>
      </c>
      <c r="H103" s="15" t="s">
        <v>10</v>
      </c>
      <c r="I103" s="19"/>
    </row>
    <row r="104" spans="1:9">
      <c r="A104" s="8">
        <v>45759</v>
      </c>
      <c r="B104" s="1">
        <v>880</v>
      </c>
      <c r="C104" s="18" t="s">
        <v>32</v>
      </c>
      <c r="D104" s="1">
        <v>432</v>
      </c>
      <c r="E104" s="1">
        <v>432</v>
      </c>
      <c r="H104" s="15" t="s">
        <v>10</v>
      </c>
      <c r="I104" s="19"/>
    </row>
    <row r="105" spans="1:9">
      <c r="A105" s="8">
        <v>45759</v>
      </c>
      <c r="B105" s="1">
        <v>896</v>
      </c>
      <c r="C105" s="18" t="s">
        <v>31</v>
      </c>
      <c r="D105" s="1">
        <v>572</v>
      </c>
      <c r="E105" s="1">
        <v>572</v>
      </c>
      <c r="H105" s="15" t="s">
        <v>10</v>
      </c>
      <c r="I105" s="19"/>
    </row>
    <row r="106" spans="1:9">
      <c r="A106" s="8">
        <v>45760</v>
      </c>
      <c r="B106" s="1">
        <v>813</v>
      </c>
      <c r="C106" s="18" t="s">
        <v>49</v>
      </c>
      <c r="D106" s="1">
        <v>352</v>
      </c>
      <c r="E106" s="1">
        <v>352</v>
      </c>
      <c r="H106" s="15" t="s">
        <v>10</v>
      </c>
      <c r="I106" s="19">
        <f>SUM(E106:E119)</f>
        <v>5566</v>
      </c>
    </row>
    <row r="107" spans="1:9">
      <c r="A107" s="8">
        <v>45760</v>
      </c>
      <c r="B107" s="1">
        <v>810</v>
      </c>
      <c r="C107" s="18" t="s">
        <v>34</v>
      </c>
      <c r="D107" s="1">
        <v>252</v>
      </c>
      <c r="E107" s="1">
        <v>252</v>
      </c>
      <c r="H107" s="15" t="s">
        <v>10</v>
      </c>
      <c r="I107" s="19"/>
    </row>
    <row r="108" spans="1:9">
      <c r="A108" s="8">
        <v>45760</v>
      </c>
      <c r="B108" s="1">
        <v>601</v>
      </c>
      <c r="C108" s="18" t="s">
        <v>145</v>
      </c>
      <c r="D108" s="1">
        <v>153</v>
      </c>
      <c r="E108" s="1">
        <v>153</v>
      </c>
      <c r="H108" s="15" t="s">
        <v>10</v>
      </c>
      <c r="I108" s="19"/>
    </row>
    <row r="109" spans="1:9">
      <c r="A109" s="8">
        <v>45760</v>
      </c>
      <c r="B109" s="1">
        <v>899</v>
      </c>
      <c r="C109" s="18" t="s">
        <v>134</v>
      </c>
      <c r="D109" s="1">
        <v>117</v>
      </c>
      <c r="E109" s="1">
        <v>117</v>
      </c>
      <c r="H109" s="15" t="s">
        <v>10</v>
      </c>
      <c r="I109" s="19"/>
    </row>
    <row r="110" spans="1:9">
      <c r="A110" s="8">
        <v>45760</v>
      </c>
      <c r="B110" s="1">
        <v>875</v>
      </c>
      <c r="C110" s="18" t="s">
        <v>42</v>
      </c>
      <c r="D110" s="1">
        <v>612</v>
      </c>
      <c r="E110" s="1">
        <v>612</v>
      </c>
      <c r="H110" s="15" t="s">
        <v>10</v>
      </c>
      <c r="I110" s="19"/>
    </row>
    <row r="111" spans="1:9">
      <c r="A111" s="8">
        <v>45760</v>
      </c>
      <c r="B111" s="1">
        <v>807</v>
      </c>
      <c r="C111" s="18" t="s">
        <v>52</v>
      </c>
      <c r="D111" s="1">
        <v>268</v>
      </c>
      <c r="E111" s="1">
        <v>268</v>
      </c>
      <c r="H111" s="15" t="s">
        <v>10</v>
      </c>
      <c r="I111" s="19"/>
    </row>
    <row r="112" spans="1:9">
      <c r="A112" s="8">
        <v>45760</v>
      </c>
      <c r="B112" s="1">
        <v>871</v>
      </c>
      <c r="C112" s="18" t="s">
        <v>63</v>
      </c>
      <c r="D112" s="1">
        <v>404</v>
      </c>
      <c r="E112" s="1">
        <v>404</v>
      </c>
      <c r="H112" s="15" t="s">
        <v>10</v>
      </c>
      <c r="I112" s="19"/>
    </row>
    <row r="113" spans="1:9">
      <c r="A113" s="8">
        <v>45760</v>
      </c>
      <c r="B113" s="1">
        <v>809</v>
      </c>
      <c r="C113" s="18" t="s">
        <v>38</v>
      </c>
      <c r="D113" s="1">
        <v>376</v>
      </c>
      <c r="E113" s="1">
        <v>376</v>
      </c>
      <c r="H113" s="15" t="s">
        <v>10</v>
      </c>
      <c r="I113" s="19"/>
    </row>
    <row r="114" spans="1:9">
      <c r="A114" s="8">
        <v>45760</v>
      </c>
      <c r="B114" s="1">
        <v>613</v>
      </c>
      <c r="C114" s="18" t="s">
        <v>39</v>
      </c>
      <c r="D114" s="1">
        <v>388</v>
      </c>
      <c r="E114" s="1">
        <v>388</v>
      </c>
      <c r="H114" s="15" t="s">
        <v>10</v>
      </c>
      <c r="I114" s="19"/>
    </row>
    <row r="115" spans="1:9">
      <c r="A115" s="8">
        <v>45760</v>
      </c>
      <c r="B115" s="1">
        <v>885</v>
      </c>
      <c r="C115" s="18" t="s">
        <v>48</v>
      </c>
      <c r="D115" s="1">
        <v>328</v>
      </c>
      <c r="E115" s="1">
        <v>328</v>
      </c>
      <c r="H115" s="15" t="s">
        <v>10</v>
      </c>
      <c r="I115" s="19"/>
    </row>
    <row r="116" spans="1:9">
      <c r="A116" s="8">
        <v>45760</v>
      </c>
      <c r="B116" s="1">
        <v>818</v>
      </c>
      <c r="C116" s="18" t="s">
        <v>37</v>
      </c>
      <c r="D116" s="1">
        <v>630</v>
      </c>
      <c r="E116" s="1">
        <v>630</v>
      </c>
      <c r="H116" s="15" t="s">
        <v>10</v>
      </c>
      <c r="I116" s="19"/>
    </row>
    <row r="117" spans="1:9">
      <c r="A117" s="8">
        <v>45760</v>
      </c>
      <c r="B117" s="1">
        <v>817</v>
      </c>
      <c r="C117" s="18" t="s">
        <v>36</v>
      </c>
      <c r="D117" s="1">
        <v>710</v>
      </c>
      <c r="E117" s="1">
        <v>710</v>
      </c>
      <c r="H117" s="15" t="s">
        <v>10</v>
      </c>
      <c r="I117" s="19"/>
    </row>
    <row r="118" spans="1:9">
      <c r="A118" s="8">
        <v>45760</v>
      </c>
      <c r="B118" s="1">
        <v>880</v>
      </c>
      <c r="C118" s="18" t="s">
        <v>32</v>
      </c>
      <c r="D118" s="1">
        <v>452</v>
      </c>
      <c r="E118" s="1">
        <v>452</v>
      </c>
      <c r="H118" s="15" t="s">
        <v>10</v>
      </c>
      <c r="I118" s="19"/>
    </row>
    <row r="119" spans="1:9">
      <c r="A119" s="8">
        <v>45760</v>
      </c>
      <c r="B119" s="1">
        <v>609</v>
      </c>
      <c r="C119" s="18" t="s">
        <v>33</v>
      </c>
      <c r="D119" s="1">
        <v>524</v>
      </c>
      <c r="E119" s="1">
        <v>524</v>
      </c>
      <c r="H119" s="15" t="s">
        <v>10</v>
      </c>
      <c r="I119" s="19"/>
    </row>
    <row r="120" spans="1:9">
      <c r="A120" s="8">
        <v>45761</v>
      </c>
      <c r="B120" s="1">
        <v>813</v>
      </c>
      <c r="C120" s="18" t="s">
        <v>49</v>
      </c>
      <c r="D120" s="1">
        <v>378</v>
      </c>
      <c r="E120" s="1">
        <v>378</v>
      </c>
      <c r="H120" s="15" t="s">
        <v>10</v>
      </c>
      <c r="I120" s="19">
        <f>SUM(E120:E132)</f>
        <v>3624</v>
      </c>
    </row>
    <row r="121" spans="1:9">
      <c r="A121" s="8">
        <v>45761</v>
      </c>
      <c r="B121" s="1">
        <v>827</v>
      </c>
      <c r="C121" s="18" t="s">
        <v>50</v>
      </c>
      <c r="D121" s="1">
        <v>294</v>
      </c>
      <c r="E121" s="1">
        <v>294</v>
      </c>
      <c r="H121" s="15" t="s">
        <v>10</v>
      </c>
      <c r="I121" s="19"/>
    </row>
    <row r="122" spans="1:9">
      <c r="A122" s="8">
        <v>45761</v>
      </c>
      <c r="B122" s="1">
        <v>828</v>
      </c>
      <c r="C122" s="18" t="s">
        <v>51</v>
      </c>
      <c r="D122" s="1">
        <v>243</v>
      </c>
      <c r="E122" s="1">
        <v>243</v>
      </c>
      <c r="H122" s="15" t="s">
        <v>10</v>
      </c>
      <c r="I122" s="19"/>
    </row>
    <row r="123" spans="1:9">
      <c r="A123" s="8">
        <v>45761</v>
      </c>
      <c r="B123" s="1">
        <v>817</v>
      </c>
      <c r="C123" s="18" t="s">
        <v>36</v>
      </c>
      <c r="D123" s="1">
        <v>231</v>
      </c>
      <c r="E123" s="1">
        <v>231</v>
      </c>
      <c r="H123" s="15" t="s">
        <v>10</v>
      </c>
      <c r="I123" s="19"/>
    </row>
    <row r="124" spans="1:9">
      <c r="A124" s="8">
        <v>45761</v>
      </c>
      <c r="B124" s="1">
        <v>809</v>
      </c>
      <c r="C124" s="18" t="s">
        <v>38</v>
      </c>
      <c r="D124" s="1">
        <v>532</v>
      </c>
      <c r="E124" s="1">
        <v>532</v>
      </c>
      <c r="H124" s="15" t="s">
        <v>10</v>
      </c>
      <c r="I124" s="19"/>
    </row>
    <row r="125" spans="1:9">
      <c r="A125" s="8">
        <v>45761</v>
      </c>
      <c r="B125" s="1">
        <v>885</v>
      </c>
      <c r="C125" s="18" t="s">
        <v>48</v>
      </c>
      <c r="D125" s="1">
        <v>260</v>
      </c>
      <c r="E125" s="1">
        <v>260</v>
      </c>
      <c r="H125" s="15" t="s">
        <v>10</v>
      </c>
      <c r="I125" s="19"/>
    </row>
    <row r="126" spans="1:9">
      <c r="A126" s="8">
        <v>45761</v>
      </c>
      <c r="B126" s="1">
        <v>818</v>
      </c>
      <c r="C126" s="18" t="s">
        <v>37</v>
      </c>
      <c r="D126" s="1">
        <v>548</v>
      </c>
      <c r="E126" s="1">
        <v>548</v>
      </c>
      <c r="H126" s="15" t="s">
        <v>10</v>
      </c>
      <c r="I126" s="19"/>
    </row>
    <row r="127" spans="1:9">
      <c r="A127" s="8">
        <v>45761</v>
      </c>
      <c r="B127" s="1">
        <v>880</v>
      </c>
      <c r="C127" s="18" t="s">
        <v>32</v>
      </c>
      <c r="D127" s="1">
        <v>500</v>
      </c>
      <c r="E127" s="1">
        <v>500</v>
      </c>
      <c r="H127" s="15" t="s">
        <v>10</v>
      </c>
      <c r="I127" s="19"/>
    </row>
    <row r="128" spans="1:9">
      <c r="A128" s="8">
        <v>45761</v>
      </c>
      <c r="B128" s="1">
        <v>875</v>
      </c>
      <c r="C128" s="18" t="s">
        <v>42</v>
      </c>
      <c r="D128" s="1">
        <v>60</v>
      </c>
      <c r="E128" s="1">
        <v>60</v>
      </c>
      <c r="H128" s="15" t="s">
        <v>10</v>
      </c>
      <c r="I128" s="19"/>
    </row>
    <row r="129" spans="1:9">
      <c r="A129" s="8">
        <v>45761</v>
      </c>
      <c r="B129" s="1">
        <v>813</v>
      </c>
      <c r="C129" s="18" t="s">
        <v>49</v>
      </c>
      <c r="D129" s="1">
        <v>176</v>
      </c>
      <c r="E129" s="1">
        <v>176</v>
      </c>
      <c r="H129" s="15" t="s">
        <v>10</v>
      </c>
      <c r="I129" s="19"/>
    </row>
    <row r="130" spans="1:9">
      <c r="A130" s="8">
        <v>45761</v>
      </c>
      <c r="B130" s="1">
        <v>827</v>
      </c>
      <c r="C130" s="18" t="s">
        <v>50</v>
      </c>
      <c r="D130" s="1">
        <v>90</v>
      </c>
      <c r="E130" s="1">
        <v>90</v>
      </c>
      <c r="H130" s="15" t="s">
        <v>10</v>
      </c>
      <c r="I130" s="19"/>
    </row>
    <row r="131" spans="1:9">
      <c r="A131" s="8">
        <v>45761</v>
      </c>
      <c r="B131" s="1">
        <v>609</v>
      </c>
      <c r="C131" s="18" t="s">
        <v>33</v>
      </c>
      <c r="D131" s="1">
        <v>156</v>
      </c>
      <c r="E131" s="1">
        <v>156</v>
      </c>
      <c r="H131" s="15" t="s">
        <v>10</v>
      </c>
      <c r="I131" s="19"/>
    </row>
    <row r="132" spans="1:9">
      <c r="A132" s="8">
        <v>45761</v>
      </c>
      <c r="B132" s="1">
        <v>896</v>
      </c>
      <c r="C132" s="18" t="s">
        <v>31</v>
      </c>
      <c r="D132" s="1">
        <v>156</v>
      </c>
      <c r="E132" s="1">
        <v>156</v>
      </c>
      <c r="H132" s="15" t="s">
        <v>10</v>
      </c>
      <c r="I132" s="19"/>
    </row>
    <row r="133" spans="1:9">
      <c r="A133" s="8">
        <v>45762</v>
      </c>
      <c r="B133" s="1">
        <v>9875</v>
      </c>
      <c r="C133" s="18" t="s">
        <v>43</v>
      </c>
      <c r="D133" s="1">
        <v>168</v>
      </c>
      <c r="E133" s="1">
        <v>168</v>
      </c>
      <c r="H133" s="15" t="s">
        <v>10</v>
      </c>
      <c r="I133" s="19">
        <f>SUM(E133:E142)</f>
        <v>3075</v>
      </c>
    </row>
    <row r="134" spans="1:9">
      <c r="A134" s="8">
        <v>45762</v>
      </c>
      <c r="B134" s="1">
        <v>613</v>
      </c>
      <c r="C134" s="18" t="s">
        <v>39</v>
      </c>
      <c r="D134" s="1">
        <v>112</v>
      </c>
      <c r="E134" s="1">
        <v>112</v>
      </c>
      <c r="H134" s="15" t="s">
        <v>10</v>
      </c>
      <c r="I134" s="19"/>
    </row>
    <row r="135" spans="1:9">
      <c r="A135" s="8">
        <v>45762</v>
      </c>
      <c r="B135" s="1">
        <v>809</v>
      </c>
      <c r="C135" s="18" t="s">
        <v>38</v>
      </c>
      <c r="D135" s="1">
        <v>224</v>
      </c>
      <c r="E135" s="1">
        <v>224</v>
      </c>
      <c r="H135" s="15" t="s">
        <v>10</v>
      </c>
      <c r="I135" s="19"/>
    </row>
    <row r="136" spans="1:9">
      <c r="A136" s="8">
        <v>45762</v>
      </c>
      <c r="B136" s="1">
        <v>885</v>
      </c>
      <c r="C136" s="18" t="s">
        <v>48</v>
      </c>
      <c r="D136" s="1">
        <v>224</v>
      </c>
      <c r="E136" s="1">
        <v>224</v>
      </c>
      <c r="H136" s="15" t="s">
        <v>10</v>
      </c>
      <c r="I136" s="19"/>
    </row>
    <row r="137" spans="1:9">
      <c r="A137" s="8">
        <v>45762</v>
      </c>
      <c r="B137" s="1">
        <v>888</v>
      </c>
      <c r="C137" s="18" t="s">
        <v>135</v>
      </c>
      <c r="D137" s="1">
        <v>219</v>
      </c>
      <c r="E137" s="1">
        <v>219</v>
      </c>
      <c r="H137" s="15" t="s">
        <v>10</v>
      </c>
      <c r="I137" s="19"/>
    </row>
    <row r="138" spans="1:9">
      <c r="A138" s="8">
        <v>45762</v>
      </c>
      <c r="B138" s="1">
        <v>609</v>
      </c>
      <c r="C138" s="18" t="s">
        <v>33</v>
      </c>
      <c r="D138" s="1">
        <v>560</v>
      </c>
      <c r="E138" s="1">
        <v>560</v>
      </c>
      <c r="H138" s="15" t="s">
        <v>10</v>
      </c>
      <c r="I138" s="19"/>
    </row>
    <row r="139" spans="1:9">
      <c r="A139" s="8">
        <v>45762</v>
      </c>
      <c r="B139" s="1">
        <v>818</v>
      </c>
      <c r="C139" s="18" t="s">
        <v>37</v>
      </c>
      <c r="D139" s="1">
        <v>520</v>
      </c>
      <c r="E139" s="1">
        <v>520</v>
      </c>
      <c r="H139" s="15" t="s">
        <v>10</v>
      </c>
      <c r="I139" s="19"/>
    </row>
    <row r="140" spans="1:9">
      <c r="A140" s="8">
        <v>45762</v>
      </c>
      <c r="B140" s="1">
        <v>807</v>
      </c>
      <c r="C140" s="18" t="s">
        <v>52</v>
      </c>
      <c r="D140" s="1">
        <v>72</v>
      </c>
      <c r="E140" s="1">
        <v>72</v>
      </c>
      <c r="H140" s="15" t="s">
        <v>10</v>
      </c>
      <c r="I140" s="19"/>
    </row>
    <row r="141" spans="1:9">
      <c r="A141" s="8">
        <v>45762</v>
      </c>
      <c r="B141" s="1">
        <v>880</v>
      </c>
      <c r="C141" s="18" t="s">
        <v>32</v>
      </c>
      <c r="D141" s="1">
        <v>476</v>
      </c>
      <c r="E141" s="1">
        <v>476</v>
      </c>
      <c r="H141" s="15" t="s">
        <v>10</v>
      </c>
      <c r="I141" s="19"/>
    </row>
    <row r="142" spans="1:9">
      <c r="A142" s="8">
        <v>45762</v>
      </c>
      <c r="B142" s="1">
        <v>896</v>
      </c>
      <c r="C142" s="18" t="s">
        <v>31</v>
      </c>
      <c r="D142" s="1">
        <v>500</v>
      </c>
      <c r="E142" s="1">
        <v>500</v>
      </c>
      <c r="H142" s="15" t="s">
        <v>10</v>
      </c>
      <c r="I142" s="19"/>
    </row>
    <row r="143" spans="1:9">
      <c r="A143" s="8">
        <v>45763</v>
      </c>
      <c r="B143" s="1">
        <v>809</v>
      </c>
      <c r="C143" s="18" t="s">
        <v>38</v>
      </c>
      <c r="D143" s="1">
        <v>630</v>
      </c>
      <c r="E143" s="1">
        <v>630</v>
      </c>
      <c r="H143" s="15" t="s">
        <v>10</v>
      </c>
      <c r="I143" s="19">
        <f>SUM(E143:E154)</f>
        <v>4228</v>
      </c>
    </row>
    <row r="144" spans="1:9">
      <c r="A144" s="8">
        <v>45763</v>
      </c>
      <c r="B144" s="1">
        <v>613</v>
      </c>
      <c r="C144" s="18" t="s">
        <v>39</v>
      </c>
      <c r="D144" s="1">
        <v>352</v>
      </c>
      <c r="E144" s="1">
        <v>352</v>
      </c>
      <c r="H144" s="15" t="s">
        <v>10</v>
      </c>
      <c r="I144" s="19"/>
    </row>
    <row r="145" spans="1:9">
      <c r="A145" s="8">
        <v>45763</v>
      </c>
      <c r="B145" s="1">
        <v>885</v>
      </c>
      <c r="C145" s="18" t="s">
        <v>48</v>
      </c>
      <c r="D145" s="1">
        <v>200</v>
      </c>
      <c r="E145" s="1">
        <v>200</v>
      </c>
      <c r="H145" s="15" t="s">
        <v>10</v>
      </c>
      <c r="I145" s="19"/>
    </row>
    <row r="146" spans="1:9">
      <c r="A146" s="8">
        <v>45763</v>
      </c>
      <c r="B146" s="1">
        <v>813</v>
      </c>
      <c r="C146" s="18" t="s">
        <v>49</v>
      </c>
      <c r="D146" s="1">
        <v>168</v>
      </c>
      <c r="E146" s="1">
        <v>168</v>
      </c>
      <c r="H146" s="15" t="s">
        <v>10</v>
      </c>
      <c r="I146" s="19"/>
    </row>
    <row r="147" spans="1:9">
      <c r="A147" s="8">
        <v>45763</v>
      </c>
      <c r="B147" s="1">
        <v>875</v>
      </c>
      <c r="C147" s="18" t="s">
        <v>42</v>
      </c>
      <c r="D147" s="1">
        <v>258</v>
      </c>
      <c r="E147" s="1">
        <v>258</v>
      </c>
      <c r="H147" s="15" t="s">
        <v>10</v>
      </c>
      <c r="I147" s="19"/>
    </row>
    <row r="148" spans="1:9">
      <c r="A148" s="8">
        <v>45763</v>
      </c>
      <c r="B148" s="1">
        <v>807</v>
      </c>
      <c r="C148" s="18" t="s">
        <v>52</v>
      </c>
      <c r="D148" s="1">
        <v>210</v>
      </c>
      <c r="E148" s="1">
        <v>210</v>
      </c>
      <c r="H148" s="15" t="s">
        <v>10</v>
      </c>
      <c r="I148" s="19"/>
    </row>
    <row r="149" spans="1:9">
      <c r="A149" s="8">
        <v>45763</v>
      </c>
      <c r="B149" s="1">
        <v>609</v>
      </c>
      <c r="C149" s="18" t="s">
        <v>33</v>
      </c>
      <c r="D149" s="1">
        <v>441</v>
      </c>
      <c r="E149" s="1">
        <v>441</v>
      </c>
      <c r="H149" s="15" t="s">
        <v>10</v>
      </c>
      <c r="I149" s="19"/>
    </row>
    <row r="150" spans="1:9">
      <c r="A150" s="8">
        <v>45763</v>
      </c>
      <c r="B150" s="1">
        <v>896</v>
      </c>
      <c r="C150" s="18" t="s">
        <v>31</v>
      </c>
      <c r="D150" s="1">
        <v>378</v>
      </c>
      <c r="E150" s="1">
        <v>378</v>
      </c>
      <c r="H150" s="15" t="s">
        <v>10</v>
      </c>
      <c r="I150" s="19"/>
    </row>
    <row r="151" spans="1:9">
      <c r="A151" s="8">
        <v>45763</v>
      </c>
      <c r="B151" s="1">
        <v>817</v>
      </c>
      <c r="C151" s="18" t="s">
        <v>36</v>
      </c>
      <c r="D151" s="1">
        <v>247</v>
      </c>
      <c r="E151" s="1">
        <v>247</v>
      </c>
      <c r="H151" s="15" t="s">
        <v>10</v>
      </c>
      <c r="I151" s="19"/>
    </row>
    <row r="152" spans="1:9">
      <c r="A152" s="8">
        <v>45763</v>
      </c>
      <c r="B152" s="1">
        <v>827</v>
      </c>
      <c r="C152" s="18" t="s">
        <v>50</v>
      </c>
      <c r="D152" s="1">
        <v>476</v>
      </c>
      <c r="E152" s="1">
        <v>476</v>
      </c>
      <c r="H152" s="15" t="s">
        <v>10</v>
      </c>
      <c r="I152" s="19"/>
    </row>
    <row r="153" spans="1:9">
      <c r="A153" s="8">
        <v>45763</v>
      </c>
      <c r="B153" s="1">
        <v>828</v>
      </c>
      <c r="C153" s="18" t="s">
        <v>51</v>
      </c>
      <c r="D153" s="1">
        <v>408</v>
      </c>
      <c r="E153" s="1">
        <v>408</v>
      </c>
      <c r="H153" s="15" t="s">
        <v>10</v>
      </c>
      <c r="I153" s="19"/>
    </row>
    <row r="154" spans="1:9">
      <c r="A154" s="8">
        <v>45763</v>
      </c>
      <c r="B154" s="1">
        <v>818</v>
      </c>
      <c r="C154" s="18" t="s">
        <v>37</v>
      </c>
      <c r="D154" s="1">
        <v>460</v>
      </c>
      <c r="E154" s="1">
        <v>460</v>
      </c>
      <c r="H154" s="15" t="s">
        <v>10</v>
      </c>
      <c r="I154" s="19"/>
    </row>
    <row r="155" spans="1:9">
      <c r="A155" s="8">
        <v>45764</v>
      </c>
      <c r="B155" s="1">
        <v>827</v>
      </c>
      <c r="C155" s="18" t="s">
        <v>50</v>
      </c>
      <c r="D155" s="1">
        <v>3</v>
      </c>
      <c r="E155" s="1">
        <v>3</v>
      </c>
      <c r="H155" s="15" t="s">
        <v>10</v>
      </c>
      <c r="I155" s="19">
        <f>SUM(E155:E166)</f>
        <v>2061</v>
      </c>
    </row>
    <row r="156" spans="1:9">
      <c r="A156" s="8">
        <v>45764</v>
      </c>
      <c r="B156" s="1">
        <v>813</v>
      </c>
      <c r="C156" s="18" t="s">
        <v>49</v>
      </c>
      <c r="D156" s="1">
        <v>8</v>
      </c>
      <c r="E156" s="1">
        <v>8</v>
      </c>
      <c r="H156" s="15" t="s">
        <v>10</v>
      </c>
      <c r="I156" s="19"/>
    </row>
    <row r="157" spans="1:9">
      <c r="A157" s="8">
        <v>45764</v>
      </c>
      <c r="B157" s="1">
        <v>818</v>
      </c>
      <c r="C157" s="18" t="s">
        <v>37</v>
      </c>
      <c r="D157" s="1">
        <v>2</v>
      </c>
      <c r="E157" s="1">
        <v>2</v>
      </c>
      <c r="H157" s="15" t="s">
        <v>10</v>
      </c>
      <c r="I157" s="19"/>
    </row>
    <row r="158" spans="1:9">
      <c r="A158" s="8">
        <v>45764</v>
      </c>
      <c r="B158" s="1">
        <v>809</v>
      </c>
      <c r="C158" s="18" t="s">
        <v>38</v>
      </c>
      <c r="D158" s="1">
        <v>588</v>
      </c>
      <c r="E158" s="1">
        <v>588</v>
      </c>
      <c r="H158" s="15" t="s">
        <v>10</v>
      </c>
      <c r="I158" s="19"/>
    </row>
    <row r="159" spans="1:9">
      <c r="A159" s="8">
        <v>45764</v>
      </c>
      <c r="B159" s="1">
        <v>613</v>
      </c>
      <c r="C159" s="18" t="s">
        <v>39</v>
      </c>
      <c r="D159" s="1">
        <v>244</v>
      </c>
      <c r="E159" s="1">
        <v>244</v>
      </c>
      <c r="H159" s="15" t="s">
        <v>10</v>
      </c>
      <c r="I159" s="19"/>
    </row>
    <row r="160" spans="1:9">
      <c r="A160" s="8">
        <v>45764</v>
      </c>
      <c r="B160" s="1">
        <v>871</v>
      </c>
      <c r="C160" s="18" t="s">
        <v>63</v>
      </c>
      <c r="D160" s="1">
        <v>140</v>
      </c>
      <c r="E160" s="1">
        <v>140</v>
      </c>
      <c r="H160" s="15" t="s">
        <v>10</v>
      </c>
      <c r="I160" s="19"/>
    </row>
    <row r="161" spans="1:9">
      <c r="A161" s="8">
        <v>45764</v>
      </c>
      <c r="B161" s="1">
        <v>609</v>
      </c>
      <c r="C161" s="18" t="s">
        <v>33</v>
      </c>
      <c r="D161" s="1">
        <v>375</v>
      </c>
      <c r="E161" s="1">
        <v>375</v>
      </c>
      <c r="H161" s="15" t="s">
        <v>10</v>
      </c>
      <c r="I161" s="19"/>
    </row>
    <row r="162" spans="1:9">
      <c r="A162" s="8">
        <v>45764</v>
      </c>
      <c r="B162" s="1">
        <v>896</v>
      </c>
      <c r="C162" s="18" t="s">
        <v>31</v>
      </c>
      <c r="D162" s="1">
        <v>300</v>
      </c>
      <c r="E162" s="1">
        <v>300</v>
      </c>
      <c r="H162" s="15" t="s">
        <v>10</v>
      </c>
      <c r="I162" s="19"/>
    </row>
    <row r="163" spans="1:9">
      <c r="A163" s="8">
        <v>45764</v>
      </c>
      <c r="B163" s="1">
        <v>880</v>
      </c>
      <c r="C163" s="18" t="s">
        <v>32</v>
      </c>
      <c r="D163" s="1">
        <v>8</v>
      </c>
      <c r="E163" s="1">
        <v>8</v>
      </c>
      <c r="H163" s="15" t="s">
        <v>10</v>
      </c>
      <c r="I163" s="19"/>
    </row>
    <row r="164" spans="1:9">
      <c r="A164" s="8">
        <v>45764</v>
      </c>
      <c r="B164" s="1">
        <v>899</v>
      </c>
      <c r="C164" s="18" t="s">
        <v>134</v>
      </c>
      <c r="D164" s="1">
        <v>81</v>
      </c>
      <c r="E164" s="1">
        <v>81</v>
      </c>
      <c r="H164" s="15" t="s">
        <v>10</v>
      </c>
      <c r="I164" s="19"/>
    </row>
    <row r="165" spans="1:9">
      <c r="A165" s="8">
        <v>45764</v>
      </c>
      <c r="B165" s="1">
        <v>875</v>
      </c>
      <c r="C165" s="18" t="s">
        <v>42</v>
      </c>
      <c r="D165" s="1">
        <v>180</v>
      </c>
      <c r="E165" s="1">
        <v>180</v>
      </c>
      <c r="H165" s="15" t="s">
        <v>10</v>
      </c>
      <c r="I165" s="19"/>
    </row>
    <row r="166" spans="1:9">
      <c r="A166" s="8">
        <v>45764</v>
      </c>
      <c r="B166" s="1">
        <v>807</v>
      </c>
      <c r="C166" s="18" t="s">
        <v>52</v>
      </c>
      <c r="D166" s="1">
        <v>132</v>
      </c>
      <c r="E166" s="1">
        <v>132</v>
      </c>
      <c r="H166" s="15" t="s">
        <v>10</v>
      </c>
      <c r="I166" s="19"/>
    </row>
    <row r="167" spans="1:9">
      <c r="A167" s="8">
        <v>45765</v>
      </c>
      <c r="B167" s="1">
        <v>809</v>
      </c>
      <c r="C167" s="18" t="s">
        <v>38</v>
      </c>
      <c r="D167" s="1">
        <v>560</v>
      </c>
      <c r="E167" s="1">
        <v>560</v>
      </c>
      <c r="H167" s="15" t="s">
        <v>10</v>
      </c>
      <c r="I167" s="19">
        <f>SUM(E167:E173)</f>
        <v>2180</v>
      </c>
    </row>
    <row r="168" spans="1:9">
      <c r="A168" s="8">
        <v>45765</v>
      </c>
      <c r="B168" s="1">
        <v>613</v>
      </c>
      <c r="C168" s="18" t="s">
        <v>39</v>
      </c>
      <c r="D168" s="1">
        <v>240</v>
      </c>
      <c r="E168" s="1">
        <v>240</v>
      </c>
      <c r="H168" s="15" t="s">
        <v>10</v>
      </c>
      <c r="I168" s="19"/>
    </row>
    <row r="169" spans="1:9">
      <c r="A169" s="8">
        <v>45765</v>
      </c>
      <c r="B169" s="1">
        <v>609</v>
      </c>
      <c r="C169" s="18" t="s">
        <v>33</v>
      </c>
      <c r="D169" s="1">
        <v>234</v>
      </c>
      <c r="E169" s="1">
        <v>234</v>
      </c>
      <c r="H169" s="15" t="s">
        <v>10</v>
      </c>
      <c r="I169" s="19"/>
    </row>
    <row r="170" spans="1:9">
      <c r="A170" s="8">
        <v>45765</v>
      </c>
      <c r="B170" s="1">
        <v>818</v>
      </c>
      <c r="C170" s="18" t="s">
        <v>37</v>
      </c>
      <c r="D170" s="1">
        <v>390</v>
      </c>
      <c r="E170" s="1">
        <v>390</v>
      </c>
      <c r="H170" s="15" t="s">
        <v>10</v>
      </c>
      <c r="I170" s="19"/>
    </row>
    <row r="171" spans="1:9">
      <c r="A171" s="8">
        <v>45765</v>
      </c>
      <c r="B171" s="1">
        <v>817</v>
      </c>
      <c r="C171" s="18" t="s">
        <v>36</v>
      </c>
      <c r="D171" s="1">
        <v>240</v>
      </c>
      <c r="E171" s="1">
        <v>240</v>
      </c>
      <c r="H171" s="15" t="s">
        <v>10</v>
      </c>
      <c r="I171" s="19"/>
    </row>
    <row r="172" spans="1:9">
      <c r="A172" s="8">
        <v>45765</v>
      </c>
      <c r="B172" s="1">
        <v>827</v>
      </c>
      <c r="C172" s="18" t="s">
        <v>50</v>
      </c>
      <c r="D172" s="1">
        <v>216</v>
      </c>
      <c r="E172" s="1">
        <v>216</v>
      </c>
      <c r="H172" s="15" t="s">
        <v>10</v>
      </c>
      <c r="I172" s="19"/>
    </row>
    <row r="173" spans="1:9">
      <c r="A173" s="8">
        <v>45765</v>
      </c>
      <c r="B173" s="1">
        <v>875</v>
      </c>
      <c r="C173" s="18" t="s">
        <v>42</v>
      </c>
      <c r="D173" s="1">
        <v>300</v>
      </c>
      <c r="E173" s="1">
        <v>300</v>
      </c>
      <c r="H173" s="15" t="s">
        <v>10</v>
      </c>
      <c r="I173" s="19"/>
    </row>
    <row r="174" spans="1:9">
      <c r="A174" s="8">
        <v>45766</v>
      </c>
      <c r="B174" s="1">
        <v>888</v>
      </c>
      <c r="C174" s="18" t="s">
        <v>135</v>
      </c>
      <c r="D174" s="1">
        <v>216</v>
      </c>
      <c r="E174" s="1">
        <v>216</v>
      </c>
      <c r="H174" s="15" t="s">
        <v>10</v>
      </c>
      <c r="I174" s="19">
        <f>SUM(E174:E185)</f>
        <v>3026</v>
      </c>
    </row>
    <row r="175" spans="1:9">
      <c r="A175" s="8">
        <v>45766</v>
      </c>
      <c r="B175" s="1">
        <v>813</v>
      </c>
      <c r="C175" s="18" t="s">
        <v>49</v>
      </c>
      <c r="D175" s="1">
        <v>72</v>
      </c>
      <c r="E175" s="1">
        <v>72</v>
      </c>
      <c r="H175" s="15" t="s">
        <v>10</v>
      </c>
      <c r="I175" s="19"/>
    </row>
    <row r="176" spans="1:9">
      <c r="A176" s="8">
        <v>45766</v>
      </c>
      <c r="B176" s="1">
        <v>809</v>
      </c>
      <c r="C176" s="18" t="s">
        <v>38</v>
      </c>
      <c r="D176" s="1">
        <v>624</v>
      </c>
      <c r="E176" s="1">
        <v>624</v>
      </c>
      <c r="H176" s="15" t="s">
        <v>10</v>
      </c>
      <c r="I176" s="19"/>
    </row>
    <row r="177" spans="1:9">
      <c r="A177" s="8">
        <v>45766</v>
      </c>
      <c r="B177" s="1">
        <v>885</v>
      </c>
      <c r="C177" s="18" t="s">
        <v>48</v>
      </c>
      <c r="D177" s="1">
        <v>534</v>
      </c>
      <c r="E177" s="1">
        <v>534</v>
      </c>
      <c r="H177" s="15" t="s">
        <v>10</v>
      </c>
      <c r="I177" s="19"/>
    </row>
    <row r="178" spans="1:9">
      <c r="A178" s="8">
        <v>45766</v>
      </c>
      <c r="B178" s="1">
        <v>613</v>
      </c>
      <c r="C178" s="18" t="s">
        <v>39</v>
      </c>
      <c r="D178" s="1">
        <v>324</v>
      </c>
      <c r="E178" s="1">
        <v>324</v>
      </c>
      <c r="H178" s="15" t="s">
        <v>10</v>
      </c>
      <c r="I178" s="19"/>
    </row>
    <row r="179" spans="1:9">
      <c r="A179" s="8">
        <v>45766</v>
      </c>
      <c r="B179" s="1">
        <v>827</v>
      </c>
      <c r="C179" s="18" t="s">
        <v>50</v>
      </c>
      <c r="D179" s="1">
        <v>324</v>
      </c>
      <c r="E179" s="1">
        <v>324</v>
      </c>
      <c r="H179" s="15" t="s">
        <v>10</v>
      </c>
      <c r="I179" s="19"/>
    </row>
    <row r="180" spans="1:9">
      <c r="A180" s="8">
        <v>45766</v>
      </c>
      <c r="B180" s="1">
        <v>828</v>
      </c>
      <c r="C180" s="18" t="s">
        <v>51</v>
      </c>
      <c r="D180" s="1">
        <v>249</v>
      </c>
      <c r="E180" s="1">
        <v>249</v>
      </c>
      <c r="H180" s="15" t="s">
        <v>10</v>
      </c>
      <c r="I180" s="19"/>
    </row>
    <row r="181" spans="1:9">
      <c r="A181" s="8">
        <v>45766</v>
      </c>
      <c r="B181" s="1">
        <v>875</v>
      </c>
      <c r="C181" s="18" t="s">
        <v>42</v>
      </c>
      <c r="D181" s="1">
        <v>256</v>
      </c>
      <c r="E181" s="1">
        <v>256</v>
      </c>
      <c r="H181" s="15" t="s">
        <v>10</v>
      </c>
      <c r="I181" s="19"/>
    </row>
    <row r="182" spans="1:9">
      <c r="A182" s="8">
        <v>45766</v>
      </c>
      <c r="B182" s="1">
        <v>807</v>
      </c>
      <c r="C182" s="18" t="s">
        <v>52</v>
      </c>
      <c r="D182" s="1">
        <v>92</v>
      </c>
      <c r="E182" s="1">
        <v>92</v>
      </c>
      <c r="H182" s="15" t="s">
        <v>10</v>
      </c>
      <c r="I182" s="19"/>
    </row>
    <row r="183" spans="1:9">
      <c r="A183" s="8">
        <v>45766</v>
      </c>
      <c r="B183" s="1">
        <v>817</v>
      </c>
      <c r="C183" s="18" t="s">
        <v>36</v>
      </c>
      <c r="D183" s="1">
        <v>295</v>
      </c>
      <c r="E183" s="1">
        <v>295</v>
      </c>
      <c r="H183" s="15" t="s">
        <v>10</v>
      </c>
      <c r="I183" s="19"/>
    </row>
    <row r="184" spans="1:9">
      <c r="A184" s="8">
        <v>45766</v>
      </c>
      <c r="B184" s="1">
        <v>880</v>
      </c>
      <c r="C184" s="18" t="s">
        <v>32</v>
      </c>
      <c r="D184" s="1">
        <v>28</v>
      </c>
      <c r="E184" s="1">
        <v>28</v>
      </c>
      <c r="H184" s="15" t="s">
        <v>10</v>
      </c>
      <c r="I184" s="19"/>
    </row>
    <row r="185" spans="1:9">
      <c r="A185" s="8">
        <v>45766</v>
      </c>
      <c r="B185" s="1">
        <v>896</v>
      </c>
      <c r="C185" s="18" t="s">
        <v>31</v>
      </c>
      <c r="D185" s="1">
        <v>12</v>
      </c>
      <c r="E185" s="1">
        <v>12</v>
      </c>
      <c r="H185" s="15" t="s">
        <v>10</v>
      </c>
      <c r="I185" s="19"/>
    </row>
    <row r="186" spans="1:9">
      <c r="A186" s="8">
        <v>45767</v>
      </c>
      <c r="B186" s="1">
        <v>809</v>
      </c>
      <c r="C186" s="18" t="s">
        <v>38</v>
      </c>
      <c r="D186" s="1">
        <v>788</v>
      </c>
      <c r="E186" s="1">
        <v>788</v>
      </c>
      <c r="H186" s="15" t="s">
        <v>10</v>
      </c>
      <c r="I186" s="19">
        <f>SUM(E186:E198)</f>
        <v>3323</v>
      </c>
    </row>
    <row r="187" spans="1:9">
      <c r="A187" s="8">
        <v>45767</v>
      </c>
      <c r="B187" s="1">
        <v>885</v>
      </c>
      <c r="C187" s="18" t="s">
        <v>48</v>
      </c>
      <c r="D187" s="1">
        <v>348</v>
      </c>
      <c r="E187" s="1">
        <v>348</v>
      </c>
      <c r="H187" s="15" t="s">
        <v>10</v>
      </c>
      <c r="I187" s="19"/>
    </row>
    <row r="188" spans="1:9">
      <c r="A188" s="8">
        <v>45767</v>
      </c>
      <c r="B188" s="1">
        <v>613</v>
      </c>
      <c r="C188" s="18" t="s">
        <v>39</v>
      </c>
      <c r="D188" s="1">
        <v>296</v>
      </c>
      <c r="E188" s="1">
        <v>296</v>
      </c>
      <c r="H188" s="15" t="s">
        <v>10</v>
      </c>
      <c r="I188" s="19"/>
    </row>
    <row r="189" spans="1:9">
      <c r="A189" s="8">
        <v>45767</v>
      </c>
      <c r="B189" s="1">
        <v>871</v>
      </c>
      <c r="C189" s="18" t="s">
        <v>63</v>
      </c>
      <c r="D189" s="1">
        <v>208</v>
      </c>
      <c r="E189" s="1">
        <v>208</v>
      </c>
      <c r="H189" s="15" t="s">
        <v>10</v>
      </c>
      <c r="I189" s="19"/>
    </row>
    <row r="190" spans="1:9">
      <c r="A190" s="8">
        <v>45767</v>
      </c>
      <c r="B190" s="1">
        <v>827</v>
      </c>
      <c r="C190" s="18" t="s">
        <v>50</v>
      </c>
      <c r="D190" s="1">
        <v>150</v>
      </c>
      <c r="E190" s="1">
        <v>150</v>
      </c>
      <c r="H190" s="15" t="s">
        <v>10</v>
      </c>
      <c r="I190" s="19"/>
    </row>
    <row r="191" spans="1:9">
      <c r="A191" s="8">
        <v>45767</v>
      </c>
      <c r="B191" s="1">
        <v>813</v>
      </c>
      <c r="C191" s="18" t="s">
        <v>49</v>
      </c>
      <c r="D191" s="1">
        <v>6</v>
      </c>
      <c r="E191" s="1">
        <v>6</v>
      </c>
      <c r="H191" s="15" t="s">
        <v>10</v>
      </c>
      <c r="I191" s="19"/>
    </row>
    <row r="192" spans="1:9">
      <c r="A192" s="8">
        <v>45767</v>
      </c>
      <c r="B192" s="1">
        <v>817</v>
      </c>
      <c r="C192" s="18" t="s">
        <v>36</v>
      </c>
      <c r="D192" s="1">
        <v>516</v>
      </c>
      <c r="E192" s="1">
        <v>516</v>
      </c>
      <c r="H192" s="15" t="s">
        <v>10</v>
      </c>
      <c r="I192" s="19"/>
    </row>
    <row r="193" spans="1:9">
      <c r="A193" s="8">
        <v>45767</v>
      </c>
      <c r="B193" s="1">
        <v>880</v>
      </c>
      <c r="C193" s="18" t="s">
        <v>32</v>
      </c>
      <c r="D193" s="1">
        <v>321</v>
      </c>
      <c r="E193" s="1">
        <v>321</v>
      </c>
      <c r="H193" s="15" t="s">
        <v>10</v>
      </c>
      <c r="I193" s="19"/>
    </row>
    <row r="194" spans="1:9">
      <c r="A194" s="8">
        <v>45767</v>
      </c>
      <c r="B194" s="1">
        <v>899</v>
      </c>
      <c r="C194" s="18" t="s">
        <v>134</v>
      </c>
      <c r="D194" s="1">
        <v>40</v>
      </c>
      <c r="E194" s="1">
        <v>40</v>
      </c>
      <c r="H194" s="15" t="s">
        <v>10</v>
      </c>
      <c r="I194" s="19"/>
    </row>
    <row r="195" spans="1:9">
      <c r="A195" s="8">
        <v>45767</v>
      </c>
      <c r="B195" s="1">
        <v>896</v>
      </c>
      <c r="C195" s="18" t="s">
        <v>31</v>
      </c>
      <c r="D195" s="1">
        <v>162</v>
      </c>
      <c r="E195" s="1">
        <v>162</v>
      </c>
      <c r="H195" s="15" t="s">
        <v>10</v>
      </c>
      <c r="I195" s="19"/>
    </row>
    <row r="196" spans="1:9">
      <c r="A196" s="8">
        <v>45767</v>
      </c>
      <c r="B196" s="1">
        <v>807</v>
      </c>
      <c r="C196" s="18" t="s">
        <v>52</v>
      </c>
      <c r="D196" s="1">
        <v>204</v>
      </c>
      <c r="E196" s="1">
        <v>204</v>
      </c>
      <c r="H196" s="15" t="s">
        <v>10</v>
      </c>
      <c r="I196" s="19"/>
    </row>
    <row r="197" spans="1:9">
      <c r="A197" s="8">
        <v>45767</v>
      </c>
      <c r="B197" s="1">
        <v>875</v>
      </c>
      <c r="C197" s="18" t="s">
        <v>42</v>
      </c>
      <c r="D197" s="1">
        <v>164</v>
      </c>
      <c r="E197" s="1">
        <v>164</v>
      </c>
      <c r="H197" s="15" t="s">
        <v>10</v>
      </c>
      <c r="I197" s="19"/>
    </row>
    <row r="198" spans="1:9">
      <c r="A198" s="8">
        <v>45767</v>
      </c>
      <c r="B198" s="1">
        <v>809</v>
      </c>
      <c r="C198" s="18" t="s">
        <v>38</v>
      </c>
      <c r="D198" s="1">
        <v>120</v>
      </c>
      <c r="E198" s="1">
        <v>120</v>
      </c>
      <c r="H198" s="15" t="s">
        <v>10</v>
      </c>
      <c r="I198" s="19"/>
    </row>
    <row r="199" spans="1:9">
      <c r="A199" s="8">
        <v>45768</v>
      </c>
      <c r="B199" s="1">
        <v>809</v>
      </c>
      <c r="C199" s="18" t="s">
        <v>38</v>
      </c>
      <c r="D199" s="1">
        <v>712</v>
      </c>
      <c r="E199" s="1">
        <v>712</v>
      </c>
      <c r="H199" s="15" t="s">
        <v>10</v>
      </c>
      <c r="I199" s="19">
        <f>SUM(E199:E209)</f>
        <v>2801</v>
      </c>
    </row>
    <row r="200" spans="1:9">
      <c r="A200" s="8">
        <v>45768</v>
      </c>
      <c r="B200" s="1">
        <v>871</v>
      </c>
      <c r="C200" s="18" t="s">
        <v>63</v>
      </c>
      <c r="D200" s="1">
        <v>244</v>
      </c>
      <c r="E200" s="1">
        <v>232</v>
      </c>
      <c r="H200" s="15" t="s">
        <v>10</v>
      </c>
      <c r="I200" s="19"/>
    </row>
    <row r="201" spans="1:9">
      <c r="A201" s="8">
        <v>45768</v>
      </c>
      <c r="B201" s="1">
        <v>813</v>
      </c>
      <c r="C201" s="18" t="s">
        <v>49</v>
      </c>
      <c r="D201" s="1">
        <v>200</v>
      </c>
      <c r="E201" s="1">
        <v>200</v>
      </c>
      <c r="H201" s="15" t="s">
        <v>10</v>
      </c>
      <c r="I201" s="19"/>
    </row>
    <row r="202" spans="1:9">
      <c r="A202" s="8">
        <v>45768</v>
      </c>
      <c r="B202" s="1">
        <v>888</v>
      </c>
      <c r="C202" s="18" t="s">
        <v>135</v>
      </c>
      <c r="D202" s="1">
        <v>129</v>
      </c>
      <c r="E202" s="1">
        <v>129</v>
      </c>
      <c r="H202" s="15" t="s">
        <v>10</v>
      </c>
      <c r="I202" s="19"/>
    </row>
    <row r="203" spans="1:9">
      <c r="A203" s="8">
        <v>45768</v>
      </c>
      <c r="B203" s="1">
        <v>810</v>
      </c>
      <c r="C203" s="18" t="s">
        <v>34</v>
      </c>
      <c r="D203" s="1">
        <v>84</v>
      </c>
      <c r="E203" s="1">
        <v>84</v>
      </c>
      <c r="H203" s="15" t="s">
        <v>10</v>
      </c>
      <c r="I203" s="19"/>
    </row>
    <row r="204" spans="1:9">
      <c r="A204" s="8">
        <v>45768</v>
      </c>
      <c r="B204" s="1">
        <v>817</v>
      </c>
      <c r="C204" s="18" t="s">
        <v>36</v>
      </c>
      <c r="D204" s="1">
        <v>441</v>
      </c>
      <c r="E204" s="1">
        <v>441</v>
      </c>
      <c r="H204" s="15" t="s">
        <v>10</v>
      </c>
      <c r="I204" s="19"/>
    </row>
    <row r="205" spans="1:9">
      <c r="A205" s="8">
        <v>45768</v>
      </c>
      <c r="B205" s="1">
        <v>609</v>
      </c>
      <c r="C205" s="18" t="s">
        <v>33</v>
      </c>
      <c r="D205" s="1">
        <v>240</v>
      </c>
      <c r="E205" s="1">
        <v>240</v>
      </c>
      <c r="H205" s="15" t="s">
        <v>10</v>
      </c>
      <c r="I205" s="19"/>
    </row>
    <row r="206" spans="1:9">
      <c r="A206" s="8">
        <v>45768</v>
      </c>
      <c r="B206" s="1">
        <v>818</v>
      </c>
      <c r="C206" s="18" t="s">
        <v>37</v>
      </c>
      <c r="D206" s="1">
        <v>114</v>
      </c>
      <c r="E206" s="1">
        <v>114</v>
      </c>
      <c r="H206" s="15" t="s">
        <v>10</v>
      </c>
      <c r="I206" s="19"/>
    </row>
    <row r="207" spans="1:9">
      <c r="A207" s="8">
        <v>45768</v>
      </c>
      <c r="B207" s="1">
        <v>875</v>
      </c>
      <c r="C207" s="18" t="s">
        <v>42</v>
      </c>
      <c r="D207" s="1">
        <v>356</v>
      </c>
      <c r="E207" s="1">
        <v>356</v>
      </c>
      <c r="H207" s="15" t="s">
        <v>10</v>
      </c>
      <c r="I207" s="19"/>
    </row>
    <row r="208" spans="1:9">
      <c r="A208" s="8">
        <v>45768</v>
      </c>
      <c r="B208" s="1">
        <v>807</v>
      </c>
      <c r="C208" s="18" t="s">
        <v>52</v>
      </c>
      <c r="D208" s="1">
        <v>236</v>
      </c>
      <c r="E208" s="1">
        <v>236</v>
      </c>
      <c r="H208" s="15" t="s">
        <v>10</v>
      </c>
      <c r="I208" s="19"/>
    </row>
    <row r="209" spans="1:9">
      <c r="A209" s="8">
        <v>45768</v>
      </c>
      <c r="B209" s="1">
        <v>810</v>
      </c>
      <c r="C209" s="18" t="s">
        <v>34</v>
      </c>
      <c r="D209" s="1">
        <v>57</v>
      </c>
      <c r="E209" s="1">
        <v>57</v>
      </c>
      <c r="H209" s="15" t="s">
        <v>10</v>
      </c>
      <c r="I209" s="19"/>
    </row>
    <row r="210" spans="1:9">
      <c r="A210" s="8">
        <v>45769</v>
      </c>
      <c r="B210" s="1">
        <v>809</v>
      </c>
      <c r="C210" s="18" t="s">
        <v>38</v>
      </c>
      <c r="D210" s="1">
        <v>800</v>
      </c>
      <c r="E210" s="1">
        <v>800</v>
      </c>
      <c r="H210" s="15" t="s">
        <v>10</v>
      </c>
      <c r="I210" s="19">
        <f>SUM(E210:E224)</f>
        <v>6887</v>
      </c>
    </row>
    <row r="211" spans="1:9">
      <c r="A211" s="8">
        <v>45769</v>
      </c>
      <c r="B211" s="1">
        <v>885</v>
      </c>
      <c r="C211" s="18" t="s">
        <v>48</v>
      </c>
      <c r="D211" s="1">
        <v>548</v>
      </c>
      <c r="E211" s="1">
        <v>548</v>
      </c>
      <c r="H211" s="15" t="s">
        <v>10</v>
      </c>
      <c r="I211" s="19"/>
    </row>
    <row r="212" spans="1:9">
      <c r="A212" s="8">
        <v>45769</v>
      </c>
      <c r="B212" s="1">
        <v>871</v>
      </c>
      <c r="C212" s="18" t="s">
        <v>63</v>
      </c>
      <c r="D212" s="1">
        <v>424</v>
      </c>
      <c r="E212" s="1">
        <v>424</v>
      </c>
      <c r="H212" s="15" t="s">
        <v>10</v>
      </c>
      <c r="I212" s="19"/>
    </row>
    <row r="213" spans="1:9">
      <c r="A213" s="8">
        <v>45769</v>
      </c>
      <c r="B213" s="1">
        <v>613</v>
      </c>
      <c r="C213" s="18" t="s">
        <v>39</v>
      </c>
      <c r="D213" s="1">
        <v>300</v>
      </c>
      <c r="E213" s="1">
        <v>300</v>
      </c>
      <c r="H213" s="15" t="s">
        <v>10</v>
      </c>
      <c r="I213" s="19"/>
    </row>
    <row r="214" spans="1:9">
      <c r="A214" s="8">
        <v>45769</v>
      </c>
      <c r="B214" s="1">
        <v>817</v>
      </c>
      <c r="C214" s="18" t="s">
        <v>36</v>
      </c>
      <c r="D214" s="1">
        <v>544</v>
      </c>
      <c r="E214" s="1">
        <v>544</v>
      </c>
      <c r="H214" s="15" t="s">
        <v>10</v>
      </c>
      <c r="I214" s="19"/>
    </row>
    <row r="215" spans="1:9">
      <c r="A215" s="8">
        <v>45769</v>
      </c>
      <c r="B215" s="1">
        <v>818</v>
      </c>
      <c r="C215" s="18" t="s">
        <v>37</v>
      </c>
      <c r="D215" s="1">
        <v>396</v>
      </c>
      <c r="E215" s="1">
        <v>396</v>
      </c>
      <c r="H215" s="15" t="s">
        <v>10</v>
      </c>
      <c r="I215" s="19"/>
    </row>
    <row r="216" spans="1:9">
      <c r="A216" s="8">
        <v>45769</v>
      </c>
      <c r="B216" s="1">
        <v>807</v>
      </c>
      <c r="C216" s="18" t="s">
        <v>52</v>
      </c>
      <c r="D216" s="1">
        <v>268</v>
      </c>
      <c r="E216" s="1">
        <v>268</v>
      </c>
      <c r="H216" s="15" t="s">
        <v>10</v>
      </c>
      <c r="I216" s="19"/>
    </row>
    <row r="217" spans="1:9">
      <c r="A217" s="8">
        <v>45769</v>
      </c>
      <c r="B217" s="1">
        <v>875</v>
      </c>
      <c r="C217" s="18" t="s">
        <v>42</v>
      </c>
      <c r="D217" s="1">
        <v>860</v>
      </c>
      <c r="E217" s="1">
        <v>860</v>
      </c>
      <c r="H217" s="15" t="s">
        <v>10</v>
      </c>
      <c r="I217" s="19"/>
    </row>
    <row r="218" spans="1:9">
      <c r="A218" s="8">
        <v>45769</v>
      </c>
      <c r="B218" s="1">
        <v>609</v>
      </c>
      <c r="C218" s="18" t="s">
        <v>33</v>
      </c>
      <c r="D218" s="1">
        <v>1076</v>
      </c>
      <c r="E218" s="1">
        <v>1076</v>
      </c>
      <c r="H218" s="15" t="s">
        <v>10</v>
      </c>
      <c r="I218" s="19"/>
    </row>
    <row r="219" spans="1:9">
      <c r="A219" s="8">
        <v>45769</v>
      </c>
      <c r="B219" s="1">
        <v>880</v>
      </c>
      <c r="C219" s="18" t="s">
        <v>32</v>
      </c>
      <c r="D219" s="1">
        <v>183</v>
      </c>
      <c r="E219" s="1">
        <v>183</v>
      </c>
      <c r="H219" s="15" t="s">
        <v>10</v>
      </c>
      <c r="I219" s="19"/>
    </row>
    <row r="220" spans="1:9">
      <c r="A220" s="8">
        <v>45769</v>
      </c>
      <c r="B220" s="1">
        <v>899</v>
      </c>
      <c r="C220" s="18" t="s">
        <v>134</v>
      </c>
      <c r="D220" s="1">
        <v>15</v>
      </c>
      <c r="E220" s="1">
        <v>15</v>
      </c>
      <c r="H220" s="15" t="s">
        <v>10</v>
      </c>
      <c r="I220" s="19"/>
    </row>
    <row r="221" spans="1:9">
      <c r="A221" s="8">
        <v>45769</v>
      </c>
      <c r="B221" s="1">
        <v>827</v>
      </c>
      <c r="C221" s="18" t="s">
        <v>50</v>
      </c>
      <c r="D221" s="1">
        <v>486</v>
      </c>
      <c r="E221" s="1">
        <v>486</v>
      </c>
      <c r="H221" s="15" t="s">
        <v>10</v>
      </c>
      <c r="I221" s="19"/>
    </row>
    <row r="222" spans="1:9">
      <c r="A222" s="8">
        <v>45769</v>
      </c>
      <c r="B222" s="1">
        <v>828</v>
      </c>
      <c r="C222" s="18" t="s">
        <v>51</v>
      </c>
      <c r="D222" s="1">
        <v>207</v>
      </c>
      <c r="E222" s="1">
        <v>207</v>
      </c>
      <c r="H222" s="15" t="s">
        <v>10</v>
      </c>
      <c r="I222" s="19"/>
    </row>
    <row r="223" spans="1:9">
      <c r="A223" s="8">
        <v>45769</v>
      </c>
      <c r="B223" s="1">
        <v>896</v>
      </c>
      <c r="C223" s="18" t="s">
        <v>31</v>
      </c>
      <c r="D223" s="1">
        <v>768</v>
      </c>
      <c r="E223" s="1">
        <v>768</v>
      </c>
      <c r="H223" s="15" t="s">
        <v>10</v>
      </c>
      <c r="I223" s="19"/>
    </row>
    <row r="224" spans="1:9">
      <c r="A224" s="8">
        <v>45769</v>
      </c>
      <c r="B224" s="1">
        <v>813</v>
      </c>
      <c r="C224" s="18" t="s">
        <v>49</v>
      </c>
      <c r="D224" s="1">
        <v>12</v>
      </c>
      <c r="E224" s="1">
        <v>12</v>
      </c>
      <c r="H224" s="15" t="s">
        <v>10</v>
      </c>
      <c r="I224" s="19"/>
    </row>
    <row r="225" spans="1:9">
      <c r="A225" s="8">
        <v>45770</v>
      </c>
      <c r="B225" s="1">
        <v>809</v>
      </c>
      <c r="C225" s="18" t="s">
        <v>38</v>
      </c>
      <c r="D225" s="1">
        <v>1068</v>
      </c>
      <c r="E225" s="1">
        <v>1068</v>
      </c>
      <c r="H225" s="15" t="s">
        <v>10</v>
      </c>
      <c r="I225" s="19">
        <f>SUM(E225:E237)</f>
        <v>6652</v>
      </c>
    </row>
    <row r="226" spans="1:9">
      <c r="A226" s="8">
        <v>45770</v>
      </c>
      <c r="B226" s="1">
        <v>871</v>
      </c>
      <c r="C226" s="18" t="s">
        <v>63</v>
      </c>
      <c r="D226" s="1">
        <v>552</v>
      </c>
      <c r="E226" s="1">
        <v>552</v>
      </c>
      <c r="H226" s="15" t="s">
        <v>10</v>
      </c>
      <c r="I226" s="19"/>
    </row>
    <row r="227" spans="1:9">
      <c r="A227" s="8">
        <v>45770</v>
      </c>
      <c r="B227" s="1">
        <v>613</v>
      </c>
      <c r="C227" s="18" t="s">
        <v>39</v>
      </c>
      <c r="D227" s="1">
        <v>536</v>
      </c>
      <c r="E227" s="1">
        <v>536</v>
      </c>
      <c r="H227" s="15" t="s">
        <v>10</v>
      </c>
      <c r="I227" s="19"/>
    </row>
    <row r="228" spans="1:9">
      <c r="A228" s="8">
        <v>45770</v>
      </c>
      <c r="B228" s="1">
        <v>885</v>
      </c>
      <c r="C228" s="18" t="s">
        <v>48</v>
      </c>
      <c r="D228" s="1">
        <v>480</v>
      </c>
      <c r="E228" s="1">
        <v>480</v>
      </c>
      <c r="H228" s="15" t="s">
        <v>10</v>
      </c>
      <c r="I228" s="19"/>
    </row>
    <row r="229" spans="1:9">
      <c r="A229" s="8">
        <v>45770</v>
      </c>
      <c r="B229" s="1">
        <v>875</v>
      </c>
      <c r="C229" s="18" t="s">
        <v>42</v>
      </c>
      <c r="D229" s="1">
        <v>816</v>
      </c>
      <c r="E229" s="1">
        <v>816</v>
      </c>
      <c r="H229" s="15" t="s">
        <v>10</v>
      </c>
      <c r="I229" s="19"/>
    </row>
    <row r="230" spans="1:9">
      <c r="A230" s="8">
        <v>45770</v>
      </c>
      <c r="B230" s="1">
        <v>826</v>
      </c>
      <c r="C230" s="18" t="s">
        <v>146</v>
      </c>
      <c r="D230" s="1">
        <v>15</v>
      </c>
      <c r="E230" s="1">
        <v>15</v>
      </c>
      <c r="H230" s="15" t="s">
        <v>10</v>
      </c>
      <c r="I230" s="19"/>
    </row>
    <row r="231" spans="1:9">
      <c r="A231" s="8">
        <v>45770</v>
      </c>
      <c r="B231" s="1">
        <v>888</v>
      </c>
      <c r="C231" s="18" t="s">
        <v>135</v>
      </c>
      <c r="D231" s="1">
        <v>321</v>
      </c>
      <c r="E231" s="1">
        <v>321</v>
      </c>
      <c r="H231" s="15" t="s">
        <v>10</v>
      </c>
      <c r="I231" s="19"/>
    </row>
    <row r="232" spans="1:9">
      <c r="A232" s="8">
        <v>45770</v>
      </c>
      <c r="B232" s="1">
        <v>810</v>
      </c>
      <c r="C232" s="18" t="s">
        <v>34</v>
      </c>
      <c r="D232" s="1">
        <v>126</v>
      </c>
      <c r="E232" s="1">
        <v>126</v>
      </c>
      <c r="H232" s="15" t="s">
        <v>10</v>
      </c>
      <c r="I232" s="19"/>
    </row>
    <row r="233" spans="1:9">
      <c r="A233" s="8">
        <v>45770</v>
      </c>
      <c r="B233" s="1">
        <v>818</v>
      </c>
      <c r="C233" s="18" t="s">
        <v>37</v>
      </c>
      <c r="D233" s="1">
        <v>660</v>
      </c>
      <c r="E233" s="1">
        <v>660</v>
      </c>
      <c r="H233" s="15" t="s">
        <v>10</v>
      </c>
      <c r="I233" s="19"/>
    </row>
    <row r="234" spans="1:9">
      <c r="A234" s="8">
        <v>45770</v>
      </c>
      <c r="B234" s="1">
        <v>817</v>
      </c>
      <c r="C234" s="18" t="s">
        <v>36</v>
      </c>
      <c r="D234" s="1">
        <v>392</v>
      </c>
      <c r="E234" s="1">
        <v>392</v>
      </c>
      <c r="H234" s="15" t="s">
        <v>10</v>
      </c>
      <c r="I234" s="19"/>
    </row>
    <row r="235" spans="1:9">
      <c r="A235" s="8">
        <v>45770</v>
      </c>
      <c r="B235" s="1">
        <v>827</v>
      </c>
      <c r="C235" s="18" t="s">
        <v>50</v>
      </c>
      <c r="D235" s="1">
        <v>342</v>
      </c>
      <c r="E235" s="1">
        <v>342</v>
      </c>
      <c r="H235" s="15" t="s">
        <v>10</v>
      </c>
      <c r="I235" s="19"/>
    </row>
    <row r="236" spans="1:9">
      <c r="A236" s="8">
        <v>45770</v>
      </c>
      <c r="B236" s="1">
        <v>609</v>
      </c>
      <c r="C236" s="18" t="s">
        <v>33</v>
      </c>
      <c r="D236" s="1">
        <v>748</v>
      </c>
      <c r="E236" s="1">
        <v>748</v>
      </c>
      <c r="H236" s="15" t="s">
        <v>10</v>
      </c>
      <c r="I236" s="19"/>
    </row>
    <row r="237" spans="1:9">
      <c r="A237" s="8">
        <v>45770</v>
      </c>
      <c r="B237" s="1">
        <v>896</v>
      </c>
      <c r="C237" s="18" t="s">
        <v>31</v>
      </c>
      <c r="D237" s="1">
        <v>596</v>
      </c>
      <c r="E237" s="1">
        <v>596</v>
      </c>
      <c r="H237" s="15" t="s">
        <v>10</v>
      </c>
      <c r="I237" s="19"/>
    </row>
    <row r="238" spans="1:9">
      <c r="A238" s="8">
        <v>45771</v>
      </c>
      <c r="B238" s="1">
        <v>809</v>
      </c>
      <c r="C238" s="18" t="s">
        <v>38</v>
      </c>
      <c r="D238" s="1">
        <v>772</v>
      </c>
      <c r="E238" s="1">
        <v>772</v>
      </c>
      <c r="H238" s="15" t="s">
        <v>10</v>
      </c>
      <c r="I238" s="19">
        <f>SUM(E238:E246)</f>
        <v>3884</v>
      </c>
    </row>
    <row r="239" spans="1:9">
      <c r="A239" s="8">
        <v>45771</v>
      </c>
      <c r="B239" s="1">
        <v>871</v>
      </c>
      <c r="C239" s="18" t="s">
        <v>63</v>
      </c>
      <c r="D239" s="1">
        <v>552</v>
      </c>
      <c r="E239" s="1">
        <v>552</v>
      </c>
      <c r="H239" s="15" t="s">
        <v>10</v>
      </c>
      <c r="I239" s="19"/>
    </row>
    <row r="240" spans="1:9">
      <c r="A240" s="8">
        <v>45771</v>
      </c>
      <c r="B240" s="1">
        <v>613</v>
      </c>
      <c r="C240" s="18" t="s">
        <v>39</v>
      </c>
      <c r="D240" s="1">
        <v>436</v>
      </c>
      <c r="E240" s="1">
        <v>436</v>
      </c>
      <c r="H240" s="15" t="s">
        <v>10</v>
      </c>
      <c r="I240" s="19"/>
    </row>
    <row r="241" spans="1:9">
      <c r="A241" s="8">
        <v>45771</v>
      </c>
      <c r="B241" s="1">
        <v>885</v>
      </c>
      <c r="C241" s="18" t="s">
        <v>48</v>
      </c>
      <c r="D241" s="1">
        <v>260</v>
      </c>
      <c r="E241" s="1">
        <v>260</v>
      </c>
      <c r="H241" s="15" t="s">
        <v>10</v>
      </c>
      <c r="I241" s="19"/>
    </row>
    <row r="242" spans="1:9">
      <c r="A242" s="8">
        <v>45771</v>
      </c>
      <c r="B242" s="1">
        <v>888</v>
      </c>
      <c r="C242" s="18" t="s">
        <v>135</v>
      </c>
      <c r="D242" s="1">
        <v>237</v>
      </c>
      <c r="E242" s="1">
        <v>237</v>
      </c>
      <c r="H242" s="15" t="s">
        <v>10</v>
      </c>
      <c r="I242" s="19"/>
    </row>
    <row r="243" spans="1:9">
      <c r="A243" s="8">
        <v>45771</v>
      </c>
      <c r="B243" s="1">
        <v>880</v>
      </c>
      <c r="C243" s="18" t="s">
        <v>32</v>
      </c>
      <c r="D243" s="1">
        <v>351</v>
      </c>
      <c r="E243" s="1">
        <v>351</v>
      </c>
      <c r="H243" s="15" t="s">
        <v>10</v>
      </c>
      <c r="I243" s="19"/>
    </row>
    <row r="244" spans="1:9">
      <c r="A244" s="8">
        <v>45771</v>
      </c>
      <c r="B244" s="1">
        <v>601</v>
      </c>
      <c r="C244" s="18" t="s">
        <v>145</v>
      </c>
      <c r="D244" s="1">
        <v>76</v>
      </c>
      <c r="E244" s="1">
        <v>76</v>
      </c>
      <c r="H244" s="15" t="s">
        <v>10</v>
      </c>
      <c r="I244" s="19"/>
    </row>
    <row r="245" spans="1:9">
      <c r="A245" s="8">
        <v>45771</v>
      </c>
      <c r="B245" s="1">
        <v>896</v>
      </c>
      <c r="C245" s="18" t="s">
        <v>31</v>
      </c>
      <c r="D245" s="1">
        <v>728</v>
      </c>
      <c r="E245" s="1">
        <v>728</v>
      </c>
      <c r="H245" s="15" t="s">
        <v>10</v>
      </c>
      <c r="I245" s="19"/>
    </row>
    <row r="246" spans="1:9">
      <c r="A246" s="8">
        <v>45771</v>
      </c>
      <c r="B246" s="1">
        <v>828</v>
      </c>
      <c r="C246" s="18" t="s">
        <v>51</v>
      </c>
      <c r="D246" s="1">
        <v>472</v>
      </c>
      <c r="E246" s="1">
        <v>472</v>
      </c>
      <c r="H246" s="15" t="s">
        <v>10</v>
      </c>
      <c r="I246" s="19"/>
    </row>
    <row r="247" spans="1:9">
      <c r="A247" s="8">
        <v>45772</v>
      </c>
      <c r="B247" s="1">
        <v>875</v>
      </c>
      <c r="C247" s="18" t="s">
        <v>42</v>
      </c>
      <c r="D247" s="1">
        <v>284</v>
      </c>
      <c r="E247" s="1">
        <v>284</v>
      </c>
      <c r="H247" s="15" t="s">
        <v>10</v>
      </c>
      <c r="I247" s="19">
        <f>SUM(E247:E260)</f>
        <v>3952</v>
      </c>
    </row>
    <row r="248" spans="1:9">
      <c r="A248" s="8">
        <v>45772</v>
      </c>
      <c r="B248" s="1">
        <v>807</v>
      </c>
      <c r="C248" s="18" t="s">
        <v>52</v>
      </c>
      <c r="D248" s="1">
        <v>63</v>
      </c>
      <c r="E248" s="1">
        <v>63</v>
      </c>
      <c r="H248" s="15" t="s">
        <v>10</v>
      </c>
      <c r="I248" s="19"/>
    </row>
    <row r="249" spans="1:9">
      <c r="A249" s="8">
        <v>45772</v>
      </c>
      <c r="B249" s="1">
        <v>818</v>
      </c>
      <c r="C249" s="18" t="s">
        <v>37</v>
      </c>
      <c r="D249" s="1">
        <v>435</v>
      </c>
      <c r="E249" s="1">
        <v>435</v>
      </c>
      <c r="H249" s="15" t="s">
        <v>10</v>
      </c>
      <c r="I249" s="19"/>
    </row>
    <row r="250" spans="1:9">
      <c r="A250" s="8">
        <v>45772</v>
      </c>
      <c r="B250" s="1">
        <v>817</v>
      </c>
      <c r="C250" s="18" t="s">
        <v>36</v>
      </c>
      <c r="D250" s="1">
        <v>351</v>
      </c>
      <c r="E250" s="1">
        <v>351</v>
      </c>
      <c r="H250" s="15" t="s">
        <v>10</v>
      </c>
      <c r="I250" s="19"/>
    </row>
    <row r="251" spans="1:9">
      <c r="A251" s="8">
        <v>45772</v>
      </c>
      <c r="B251" s="1">
        <v>809</v>
      </c>
      <c r="C251" s="18" t="s">
        <v>38</v>
      </c>
      <c r="D251" s="1">
        <v>832</v>
      </c>
      <c r="E251" s="1">
        <v>832</v>
      </c>
      <c r="H251" s="15" t="s">
        <v>10</v>
      </c>
      <c r="I251" s="19"/>
    </row>
    <row r="252" spans="1:9">
      <c r="A252" s="8">
        <v>45772</v>
      </c>
      <c r="B252" s="1">
        <v>613</v>
      </c>
      <c r="C252" s="18" t="s">
        <v>39</v>
      </c>
      <c r="D252" s="1">
        <v>316</v>
      </c>
      <c r="E252" s="1">
        <v>316</v>
      </c>
      <c r="H252" s="15" t="s">
        <v>10</v>
      </c>
      <c r="I252" s="19"/>
    </row>
    <row r="253" spans="1:9">
      <c r="A253" s="8">
        <v>45772</v>
      </c>
      <c r="B253" s="1">
        <v>885</v>
      </c>
      <c r="C253" s="18" t="s">
        <v>48</v>
      </c>
      <c r="D253" s="1">
        <v>228</v>
      </c>
      <c r="E253" s="1">
        <v>228</v>
      </c>
      <c r="H253" s="15" t="s">
        <v>10</v>
      </c>
      <c r="I253" s="19"/>
    </row>
    <row r="254" spans="1:9">
      <c r="A254" s="8">
        <v>45772</v>
      </c>
      <c r="B254" s="1">
        <v>609</v>
      </c>
      <c r="C254" s="18" t="s">
        <v>33</v>
      </c>
      <c r="D254" s="1">
        <v>3</v>
      </c>
      <c r="E254" s="1">
        <v>3</v>
      </c>
      <c r="H254" s="15" t="s">
        <v>10</v>
      </c>
      <c r="I254" s="19"/>
    </row>
    <row r="255" spans="1:9">
      <c r="A255" s="8">
        <v>45772</v>
      </c>
      <c r="B255" s="1">
        <v>810</v>
      </c>
      <c r="C255" s="18" t="s">
        <v>34</v>
      </c>
      <c r="D255" s="1">
        <v>5</v>
      </c>
      <c r="E255" s="1">
        <v>5</v>
      </c>
      <c r="H255" s="15" t="s">
        <v>10</v>
      </c>
      <c r="I255" s="19"/>
    </row>
    <row r="256" spans="1:9">
      <c r="A256" s="8">
        <v>45772</v>
      </c>
      <c r="B256" s="1">
        <v>813</v>
      </c>
      <c r="C256" s="18" t="s">
        <v>49</v>
      </c>
      <c r="D256" s="1">
        <v>34</v>
      </c>
      <c r="E256" s="1">
        <v>34</v>
      </c>
      <c r="H256" s="15" t="s">
        <v>10</v>
      </c>
      <c r="I256" s="19"/>
    </row>
    <row r="257" spans="1:9">
      <c r="A257" s="8">
        <v>45772</v>
      </c>
      <c r="B257" s="1">
        <v>827</v>
      </c>
      <c r="C257" s="18" t="s">
        <v>50</v>
      </c>
      <c r="D257" s="1">
        <v>345</v>
      </c>
      <c r="E257" s="1">
        <v>345</v>
      </c>
      <c r="H257" s="15" t="s">
        <v>10</v>
      </c>
      <c r="I257" s="19"/>
    </row>
    <row r="258" spans="1:9">
      <c r="A258" s="8">
        <v>45772</v>
      </c>
      <c r="B258" s="1">
        <v>828</v>
      </c>
      <c r="C258" s="18" t="s">
        <v>51</v>
      </c>
      <c r="D258" s="1">
        <v>375</v>
      </c>
      <c r="E258" s="1">
        <v>375</v>
      </c>
      <c r="H258" s="15" t="s">
        <v>10</v>
      </c>
      <c r="I258" s="19"/>
    </row>
    <row r="259" spans="1:9">
      <c r="A259" s="8">
        <v>45772</v>
      </c>
      <c r="B259" s="1">
        <v>896</v>
      </c>
      <c r="C259" s="18" t="s">
        <v>31</v>
      </c>
      <c r="D259" s="1">
        <v>396</v>
      </c>
      <c r="E259" s="1">
        <v>396</v>
      </c>
      <c r="H259" s="15" t="s">
        <v>10</v>
      </c>
      <c r="I259" s="19"/>
    </row>
    <row r="260" spans="1:9">
      <c r="A260" s="8">
        <v>45772</v>
      </c>
      <c r="B260" s="1">
        <v>880</v>
      </c>
      <c r="C260" s="18" t="s">
        <v>32</v>
      </c>
      <c r="D260" s="1">
        <v>285</v>
      </c>
      <c r="E260" s="1">
        <v>285</v>
      </c>
      <c r="H260" s="1" t="s">
        <v>10</v>
      </c>
      <c r="I260" s="19"/>
    </row>
    <row r="261" spans="1:9">
      <c r="A261" s="8">
        <v>45773</v>
      </c>
      <c r="B261" s="1">
        <v>875</v>
      </c>
      <c r="C261" s="18" t="s">
        <v>42</v>
      </c>
      <c r="D261" s="1">
        <v>309</v>
      </c>
      <c r="E261" s="1">
        <v>309</v>
      </c>
      <c r="H261" s="1" t="s">
        <v>10</v>
      </c>
      <c r="I261" s="19">
        <f>SUM(E261:E265)</f>
        <v>779</v>
      </c>
    </row>
    <row r="262" spans="1:9">
      <c r="A262" s="8">
        <v>45773</v>
      </c>
      <c r="B262" s="1">
        <v>609</v>
      </c>
      <c r="C262" s="18" t="s">
        <v>33</v>
      </c>
      <c r="D262" s="1">
        <v>192</v>
      </c>
      <c r="E262" s="1">
        <v>192</v>
      </c>
      <c r="H262" s="1" t="s">
        <v>10</v>
      </c>
      <c r="I262" s="19"/>
    </row>
    <row r="263" spans="1:9">
      <c r="A263" s="8">
        <v>45773</v>
      </c>
      <c r="B263" s="1">
        <v>887</v>
      </c>
      <c r="C263" s="18" t="s">
        <v>138</v>
      </c>
      <c r="D263" s="1">
        <v>108</v>
      </c>
      <c r="E263" s="1">
        <v>108</v>
      </c>
      <c r="H263" s="1" t="s">
        <v>10</v>
      </c>
      <c r="I263" s="19"/>
    </row>
    <row r="264" spans="1:9">
      <c r="A264" s="8">
        <v>45773</v>
      </c>
      <c r="B264" s="1">
        <v>899</v>
      </c>
      <c r="C264" s="18" t="s">
        <v>134</v>
      </c>
      <c r="D264" s="1">
        <v>68</v>
      </c>
      <c r="E264" s="1">
        <v>68</v>
      </c>
      <c r="H264" s="1" t="s">
        <v>10</v>
      </c>
      <c r="I264" s="19"/>
    </row>
    <row r="265" spans="1:9">
      <c r="A265" s="8">
        <v>45773</v>
      </c>
      <c r="B265" s="1">
        <v>818</v>
      </c>
      <c r="C265" s="18" t="s">
        <v>37</v>
      </c>
      <c r="D265" s="1">
        <v>102</v>
      </c>
      <c r="E265" s="1">
        <v>102</v>
      </c>
      <c r="H265" s="1" t="s">
        <v>10</v>
      </c>
      <c r="I265" s="19"/>
    </row>
    <row r="266" spans="1:9">
      <c r="A266" s="8">
        <v>45775</v>
      </c>
      <c r="B266" s="1">
        <v>809</v>
      </c>
      <c r="C266" s="18" t="s">
        <v>38</v>
      </c>
      <c r="D266" s="1">
        <v>564</v>
      </c>
      <c r="E266" s="1">
        <v>564</v>
      </c>
      <c r="H266" s="1" t="s">
        <v>10</v>
      </c>
      <c r="I266" s="19">
        <f>SUM(E266:E276)</f>
        <v>3109</v>
      </c>
    </row>
    <row r="267" spans="1:9">
      <c r="A267" s="8">
        <v>45775</v>
      </c>
      <c r="B267" s="1">
        <v>885</v>
      </c>
      <c r="C267" s="18" t="s">
        <v>48</v>
      </c>
      <c r="D267" s="1">
        <v>320</v>
      </c>
      <c r="E267" s="1">
        <v>320</v>
      </c>
      <c r="H267" s="1" t="s">
        <v>10</v>
      </c>
      <c r="I267" s="19"/>
    </row>
    <row r="268" spans="1:9">
      <c r="A268" s="8">
        <v>45775</v>
      </c>
      <c r="B268" s="1">
        <v>871</v>
      </c>
      <c r="C268" s="18" t="s">
        <v>63</v>
      </c>
      <c r="D268" s="1">
        <v>264</v>
      </c>
      <c r="E268" s="1">
        <v>264</v>
      </c>
      <c r="H268" s="1" t="s">
        <v>10</v>
      </c>
      <c r="I268" s="19"/>
    </row>
    <row r="269" spans="1:9">
      <c r="A269" s="8">
        <v>45775</v>
      </c>
      <c r="B269" s="1">
        <v>613</v>
      </c>
      <c r="C269" s="18" t="s">
        <v>39</v>
      </c>
      <c r="D269" s="1">
        <v>148</v>
      </c>
      <c r="E269" s="1">
        <v>148</v>
      </c>
      <c r="H269" s="1" t="s">
        <v>10</v>
      </c>
      <c r="I269" s="19"/>
    </row>
    <row r="270" spans="1:9">
      <c r="A270" s="8">
        <v>45775</v>
      </c>
      <c r="B270" s="1">
        <v>609</v>
      </c>
      <c r="C270" s="18" t="s">
        <v>33</v>
      </c>
      <c r="D270" s="1">
        <v>369</v>
      </c>
      <c r="E270" s="1">
        <v>369</v>
      </c>
      <c r="H270" s="1" t="s">
        <v>10</v>
      </c>
      <c r="I270" s="19"/>
    </row>
    <row r="271" spans="1:9">
      <c r="A271" s="8">
        <v>45775</v>
      </c>
      <c r="B271" s="1">
        <v>817</v>
      </c>
      <c r="C271" s="18" t="s">
        <v>36</v>
      </c>
      <c r="D271" s="1">
        <v>306</v>
      </c>
      <c r="E271" s="1">
        <v>306</v>
      </c>
      <c r="H271" s="1" t="s">
        <v>10</v>
      </c>
      <c r="I271" s="19"/>
    </row>
    <row r="272" spans="1:9">
      <c r="A272" s="8">
        <v>45775</v>
      </c>
      <c r="B272" s="1">
        <v>880</v>
      </c>
      <c r="C272" s="18" t="s">
        <v>32</v>
      </c>
      <c r="D272" s="1">
        <v>321</v>
      </c>
      <c r="E272" s="1">
        <v>321</v>
      </c>
      <c r="H272" s="1" t="s">
        <v>10</v>
      </c>
      <c r="I272" s="19"/>
    </row>
    <row r="273" spans="1:9">
      <c r="A273" s="8">
        <v>45775</v>
      </c>
      <c r="B273" s="1">
        <v>813</v>
      </c>
      <c r="C273" s="18" t="s">
        <v>49</v>
      </c>
      <c r="D273" s="1">
        <v>311</v>
      </c>
      <c r="E273" s="1">
        <v>311</v>
      </c>
      <c r="H273" s="1" t="s">
        <v>10</v>
      </c>
      <c r="I273" s="19"/>
    </row>
    <row r="274" spans="1:9">
      <c r="A274" s="8">
        <v>45775</v>
      </c>
      <c r="B274" s="1">
        <v>823</v>
      </c>
      <c r="C274" s="18" t="s">
        <v>139</v>
      </c>
      <c r="D274" s="1">
        <v>45</v>
      </c>
      <c r="E274" s="1">
        <v>45</v>
      </c>
      <c r="H274" s="1" t="s">
        <v>10</v>
      </c>
      <c r="I274" s="19"/>
    </row>
    <row r="275" spans="1:9">
      <c r="A275" s="8">
        <v>45775</v>
      </c>
      <c r="B275" s="1">
        <v>807</v>
      </c>
      <c r="C275" s="18" t="s">
        <v>52</v>
      </c>
      <c r="D275" s="1">
        <v>380</v>
      </c>
      <c r="E275" s="1">
        <v>380</v>
      </c>
      <c r="H275" s="1" t="s">
        <v>10</v>
      </c>
      <c r="I275" s="19"/>
    </row>
    <row r="276" spans="1:9">
      <c r="A276" s="8">
        <v>45775</v>
      </c>
      <c r="B276" s="1">
        <v>875</v>
      </c>
      <c r="C276" s="18" t="s">
        <v>42</v>
      </c>
      <c r="D276" s="1">
        <v>81</v>
      </c>
      <c r="E276" s="1">
        <v>81</v>
      </c>
      <c r="H276" s="1" t="s">
        <v>10</v>
      </c>
      <c r="I276" s="19"/>
    </row>
    <row r="277" spans="1:9">
      <c r="A277" s="8">
        <v>45776</v>
      </c>
      <c r="B277" s="1">
        <v>809</v>
      </c>
      <c r="C277" s="18" t="s">
        <v>38</v>
      </c>
      <c r="D277" s="1">
        <v>588</v>
      </c>
      <c r="E277" s="1">
        <v>588</v>
      </c>
      <c r="H277" s="1" t="s">
        <v>10</v>
      </c>
      <c r="I277" s="19">
        <f>SUM(E277:E289)</f>
        <v>4308</v>
      </c>
    </row>
    <row r="278" spans="1:9">
      <c r="A278" s="8">
        <v>45776</v>
      </c>
      <c r="B278" s="1">
        <v>871</v>
      </c>
      <c r="C278" s="18" t="s">
        <v>63</v>
      </c>
      <c r="D278" s="1">
        <v>480</v>
      </c>
      <c r="E278" s="1">
        <v>480</v>
      </c>
      <c r="H278" s="1" t="s">
        <v>10</v>
      </c>
      <c r="I278" s="19"/>
    </row>
    <row r="279" spans="1:9">
      <c r="A279" s="8">
        <v>45776</v>
      </c>
      <c r="B279" s="1">
        <v>613</v>
      </c>
      <c r="C279" s="18" t="s">
        <v>39</v>
      </c>
      <c r="D279" s="1">
        <v>420</v>
      </c>
      <c r="E279" s="1">
        <v>420</v>
      </c>
      <c r="H279" s="1" t="s">
        <v>10</v>
      </c>
      <c r="I279" s="19"/>
    </row>
    <row r="280" spans="1:9">
      <c r="A280" s="8">
        <v>45776</v>
      </c>
      <c r="B280" s="1">
        <v>885</v>
      </c>
      <c r="C280" s="18" t="s">
        <v>48</v>
      </c>
      <c r="D280" s="1">
        <v>248</v>
      </c>
      <c r="E280" s="1">
        <v>248</v>
      </c>
      <c r="H280" s="1" t="s">
        <v>10</v>
      </c>
      <c r="I280" s="19"/>
    </row>
    <row r="281" spans="1:9">
      <c r="A281" s="8">
        <v>45776</v>
      </c>
      <c r="B281" s="1">
        <v>817</v>
      </c>
      <c r="C281" s="18" t="s">
        <v>36</v>
      </c>
      <c r="D281" s="1">
        <v>423</v>
      </c>
      <c r="E281" s="1">
        <v>423</v>
      </c>
      <c r="H281" s="1" t="s">
        <v>10</v>
      </c>
      <c r="I281" s="19"/>
    </row>
    <row r="282" spans="1:9">
      <c r="A282" s="8">
        <v>45776</v>
      </c>
      <c r="B282" s="1">
        <v>609</v>
      </c>
      <c r="C282" s="18" t="s">
        <v>33</v>
      </c>
      <c r="D282" s="1">
        <v>240</v>
      </c>
      <c r="E282" s="1">
        <v>240</v>
      </c>
      <c r="H282" s="1" t="s">
        <v>10</v>
      </c>
      <c r="I282" s="19"/>
    </row>
    <row r="283" spans="1:9">
      <c r="A283" s="8">
        <v>45776</v>
      </c>
      <c r="B283" s="1">
        <v>818</v>
      </c>
      <c r="C283" s="18" t="s">
        <v>37</v>
      </c>
      <c r="D283" s="1">
        <v>180</v>
      </c>
      <c r="E283" s="1">
        <v>180</v>
      </c>
      <c r="H283" s="1" t="s">
        <v>10</v>
      </c>
      <c r="I283" s="19"/>
    </row>
    <row r="284" spans="1:9">
      <c r="A284" s="8">
        <v>45776</v>
      </c>
      <c r="B284" s="1">
        <v>880</v>
      </c>
      <c r="C284" s="18" t="s">
        <v>32</v>
      </c>
      <c r="D284" s="1">
        <v>171</v>
      </c>
      <c r="E284" s="1">
        <v>171</v>
      </c>
      <c r="H284" s="1" t="s">
        <v>10</v>
      </c>
      <c r="I284" s="19"/>
    </row>
    <row r="285" spans="1:9">
      <c r="A285" s="8">
        <v>45776</v>
      </c>
      <c r="B285" s="1">
        <v>9810</v>
      </c>
      <c r="C285" s="18" t="s">
        <v>35</v>
      </c>
      <c r="D285" s="1">
        <v>30</v>
      </c>
      <c r="E285" s="1">
        <v>30</v>
      </c>
      <c r="H285" s="1" t="s">
        <v>10</v>
      </c>
      <c r="I285" s="19"/>
    </row>
    <row r="286" spans="1:9">
      <c r="A286" s="8">
        <v>45776</v>
      </c>
      <c r="B286" s="1">
        <v>828</v>
      </c>
      <c r="C286" s="18" t="s">
        <v>51</v>
      </c>
      <c r="D286" s="1">
        <v>168</v>
      </c>
      <c r="E286" s="1">
        <v>168</v>
      </c>
      <c r="H286" s="1" t="s">
        <v>10</v>
      </c>
      <c r="I286" s="19"/>
    </row>
    <row r="287" spans="1:9">
      <c r="A287" s="8">
        <v>45776</v>
      </c>
      <c r="B287" s="1">
        <v>807</v>
      </c>
      <c r="C287" s="18" t="s">
        <v>52</v>
      </c>
      <c r="D287" s="1">
        <v>352</v>
      </c>
      <c r="E287" s="1">
        <v>352</v>
      </c>
      <c r="H287" s="1" t="s">
        <v>10</v>
      </c>
      <c r="I287" s="19"/>
    </row>
    <row r="288" spans="1:9">
      <c r="A288" s="8">
        <v>45776</v>
      </c>
      <c r="B288" s="1">
        <v>875</v>
      </c>
      <c r="C288" s="18" t="s">
        <v>42</v>
      </c>
      <c r="D288" s="1">
        <v>168</v>
      </c>
      <c r="E288" s="1">
        <v>168</v>
      </c>
      <c r="H288" s="1" t="s">
        <v>10</v>
      </c>
      <c r="I288" s="19"/>
    </row>
    <row r="289" spans="1:11">
      <c r="A289" s="8">
        <v>45776</v>
      </c>
      <c r="B289" s="1">
        <v>817</v>
      </c>
      <c r="C289" s="18" t="s">
        <v>36</v>
      </c>
      <c r="D289" s="1">
        <v>840</v>
      </c>
      <c r="E289" s="1">
        <v>840</v>
      </c>
      <c r="H289" s="1" t="s">
        <v>10</v>
      </c>
      <c r="I289" s="19"/>
    </row>
    <row r="290" spans="1:11">
      <c r="A290" s="8">
        <v>45777</v>
      </c>
      <c r="B290" s="1">
        <v>809</v>
      </c>
      <c r="C290" s="18" t="s">
        <v>38</v>
      </c>
      <c r="D290" s="1">
        <v>848</v>
      </c>
      <c r="E290" s="1">
        <v>848</v>
      </c>
      <c r="H290" s="1" t="s">
        <v>10</v>
      </c>
      <c r="I290" s="19">
        <f>SUM(E290:E298)</f>
        <v>3406</v>
      </c>
    </row>
    <row r="291" spans="1:11">
      <c r="A291" s="8">
        <v>45777</v>
      </c>
      <c r="B291" s="1">
        <v>885</v>
      </c>
      <c r="C291" s="18" t="s">
        <v>48</v>
      </c>
      <c r="D291" s="1">
        <v>280</v>
      </c>
      <c r="E291" s="1">
        <v>280</v>
      </c>
      <c r="H291" s="1" t="s">
        <v>10</v>
      </c>
      <c r="I291" s="19"/>
    </row>
    <row r="292" spans="1:11">
      <c r="A292" s="8">
        <v>45777</v>
      </c>
      <c r="B292" s="1">
        <v>613</v>
      </c>
      <c r="C292" s="18" t="s">
        <v>39</v>
      </c>
      <c r="D292" s="1">
        <v>224</v>
      </c>
      <c r="E292" s="1">
        <v>224</v>
      </c>
      <c r="H292" s="1" t="s">
        <v>10</v>
      </c>
      <c r="I292" s="19"/>
    </row>
    <row r="293" spans="1:11">
      <c r="A293" s="8">
        <v>45777</v>
      </c>
      <c r="B293" s="1">
        <v>817</v>
      </c>
      <c r="C293" s="18" t="s">
        <v>36</v>
      </c>
      <c r="D293" s="1">
        <v>628</v>
      </c>
      <c r="E293" s="1">
        <v>628</v>
      </c>
      <c r="H293" s="1" t="s">
        <v>10</v>
      </c>
      <c r="I293" s="19"/>
    </row>
    <row r="294" spans="1:11">
      <c r="A294" s="8">
        <v>45777</v>
      </c>
      <c r="B294" s="1">
        <v>810</v>
      </c>
      <c r="C294" s="18" t="s">
        <v>34</v>
      </c>
      <c r="D294" s="1">
        <v>228</v>
      </c>
      <c r="E294" s="1">
        <v>228</v>
      </c>
      <c r="H294" s="1" t="s">
        <v>10</v>
      </c>
      <c r="I294" s="19"/>
    </row>
    <row r="295" spans="1:11">
      <c r="A295" s="8">
        <v>45777</v>
      </c>
      <c r="B295" s="1">
        <v>896</v>
      </c>
      <c r="C295" s="18" t="s">
        <v>31</v>
      </c>
      <c r="D295" s="1">
        <v>150</v>
      </c>
      <c r="E295" s="1">
        <v>150</v>
      </c>
      <c r="H295" s="1" t="s">
        <v>10</v>
      </c>
      <c r="I295" s="19"/>
    </row>
    <row r="296" spans="1:11">
      <c r="A296" s="8">
        <v>45777</v>
      </c>
      <c r="B296" s="1">
        <v>875</v>
      </c>
      <c r="C296" s="18" t="s">
        <v>42</v>
      </c>
      <c r="D296" s="1">
        <v>328</v>
      </c>
      <c r="E296" s="1">
        <v>328</v>
      </c>
      <c r="H296" s="1" t="s">
        <v>10</v>
      </c>
      <c r="I296" s="19"/>
    </row>
    <row r="297" spans="1:11">
      <c r="A297" s="8">
        <v>45777</v>
      </c>
      <c r="B297" s="1">
        <v>835</v>
      </c>
      <c r="C297" s="18" t="s">
        <v>64</v>
      </c>
      <c r="D297" s="1">
        <v>360</v>
      </c>
      <c r="E297" s="1">
        <v>360</v>
      </c>
      <c r="H297" s="1" t="s">
        <v>10</v>
      </c>
      <c r="I297" s="19"/>
    </row>
    <row r="298" spans="1:11">
      <c r="A298" s="8">
        <v>45777</v>
      </c>
      <c r="B298" s="1">
        <v>836</v>
      </c>
      <c r="C298" s="18" t="s">
        <v>136</v>
      </c>
      <c r="D298" s="1">
        <v>360</v>
      </c>
      <c r="E298" s="1">
        <v>360</v>
      </c>
      <c r="H298" s="1" t="s">
        <v>10</v>
      </c>
      <c r="I298" s="19"/>
    </row>
    <row r="299" spans="1:11">
      <c r="J299">
        <f>SUM(I2:I298)</f>
        <v>111776</v>
      </c>
    </row>
    <row r="300" ht="54" spans="1:11">
      <c r="I300" s="23" t="s">
        <v>147</v>
      </c>
      <c r="J300">
        <v>1360</v>
      </c>
      <c r="K300">
        <f>J299+J300</f>
        <v>113136</v>
      </c>
    </row>
    <row r="301" spans="1:11">
      <c r="J301">
        <f>SUM(J299:J300)*0.05</f>
        <v>5656.8</v>
      </c>
    </row>
  </sheetData>
  <mergeCells count="28">
    <mergeCell ref="I2:I5"/>
    <mergeCell ref="I6:I16"/>
    <mergeCell ref="I17:I33"/>
    <mergeCell ref="I34:I40"/>
    <mergeCell ref="I41:I47"/>
    <mergeCell ref="I48:I53"/>
    <mergeCell ref="I54:I63"/>
    <mergeCell ref="I64:I72"/>
    <mergeCell ref="I73:I83"/>
    <mergeCell ref="I84:I94"/>
    <mergeCell ref="I95:I105"/>
    <mergeCell ref="I106:I119"/>
    <mergeCell ref="I120:I132"/>
    <mergeCell ref="I133:I142"/>
    <mergeCell ref="I143:I154"/>
    <mergeCell ref="I155:I166"/>
    <mergeCell ref="I167:I173"/>
    <mergeCell ref="I174:I185"/>
    <mergeCell ref="I186:I198"/>
    <mergeCell ref="I199:I209"/>
    <mergeCell ref="I210:I224"/>
    <mergeCell ref="I225:I237"/>
    <mergeCell ref="I238:I246"/>
    <mergeCell ref="I247:I260"/>
    <mergeCell ref="I261:I265"/>
    <mergeCell ref="I266:I276"/>
    <mergeCell ref="I277:I289"/>
    <mergeCell ref="I290:I29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8"/>
  <sheetViews>
    <sheetView zoomScale="84" zoomScaleNormal="84" workbookViewId="0">
      <pane ySplit="1" topLeftCell="A3" activePane="bottomLeft" state="frozen"/>
      <selection/>
      <selection pane="bottomLeft" activeCell="A17" sqref="A17"/>
    </sheetView>
  </sheetViews>
  <sheetFormatPr defaultColWidth="10" defaultRowHeight="13.5"/>
  <cols>
    <col min="1" max="1" width="7.94166666666667" style="1" customWidth="1"/>
    <col min="2" max="2" width="5.15" style="1" customWidth="1"/>
    <col min="3" max="3" width="6" style="2" customWidth="1"/>
    <col min="4" max="7" width="9" style="1" customWidth="1"/>
    <col min="8" max="8" width="5" style="1" customWidth="1"/>
    <col min="9" max="9" width="5.15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45717</v>
      </c>
      <c r="B2" s="9">
        <v>810</v>
      </c>
      <c r="C2" s="10" t="s">
        <v>34</v>
      </c>
      <c r="D2" s="9">
        <v>344</v>
      </c>
      <c r="E2" s="9">
        <v>344</v>
      </c>
      <c r="F2" s="9"/>
      <c r="G2" s="9"/>
      <c r="H2" s="9" t="s">
        <v>10</v>
      </c>
      <c r="I2" s="11">
        <f>SUM(E2:E9)</f>
        <v>2790</v>
      </c>
    </row>
    <row r="3" spans="1:16">
      <c r="A3" s="8">
        <v>45717</v>
      </c>
      <c r="B3" s="12">
        <v>817</v>
      </c>
      <c r="C3" s="13" t="s">
        <v>36</v>
      </c>
      <c r="D3" s="12">
        <v>620</v>
      </c>
      <c r="E3" s="12">
        <v>620</v>
      </c>
      <c r="F3" s="12"/>
      <c r="G3" s="12"/>
      <c r="H3" s="12" t="s">
        <v>10</v>
      </c>
      <c r="I3" s="14"/>
    </row>
    <row r="4" spans="1:16">
      <c r="A4" s="8">
        <v>45717</v>
      </c>
      <c r="B4" s="12">
        <v>609</v>
      </c>
      <c r="C4" s="13" t="s">
        <v>33</v>
      </c>
      <c r="D4" s="12">
        <v>428</v>
      </c>
      <c r="E4" s="12">
        <v>428</v>
      </c>
      <c r="F4" s="12"/>
      <c r="G4" s="12"/>
      <c r="H4" s="12" t="s">
        <v>10</v>
      </c>
      <c r="I4" s="14"/>
    </row>
    <row r="5" spans="1:16">
      <c r="A5" s="8">
        <v>45717</v>
      </c>
      <c r="B5" s="12">
        <v>613</v>
      </c>
      <c r="C5" s="13" t="s">
        <v>39</v>
      </c>
      <c r="D5" s="12">
        <v>300</v>
      </c>
      <c r="E5" s="12">
        <v>300</v>
      </c>
      <c r="F5" s="12"/>
      <c r="G5" s="12"/>
      <c r="H5" s="12" t="s">
        <v>10</v>
      </c>
      <c r="I5" s="14"/>
    </row>
    <row r="6" spans="1:16">
      <c r="A6" s="8">
        <v>45717</v>
      </c>
      <c r="B6" s="12">
        <v>9875</v>
      </c>
      <c r="C6" s="13" t="s">
        <v>43</v>
      </c>
      <c r="D6" s="12">
        <v>492</v>
      </c>
      <c r="E6" s="12">
        <v>492</v>
      </c>
      <c r="F6" s="12"/>
      <c r="G6" s="12"/>
      <c r="H6" s="12" t="s">
        <v>10</v>
      </c>
      <c r="I6" s="14"/>
    </row>
    <row r="7" spans="1:16">
      <c r="A7" s="8">
        <v>45717</v>
      </c>
      <c r="B7" s="12">
        <v>807</v>
      </c>
      <c r="C7" s="13" t="s">
        <v>52</v>
      </c>
      <c r="D7" s="12">
        <v>340</v>
      </c>
      <c r="E7" s="12">
        <v>340</v>
      </c>
      <c r="F7" s="12"/>
      <c r="G7" s="12"/>
      <c r="H7" s="12" t="s">
        <v>10</v>
      </c>
      <c r="I7" s="14"/>
    </row>
    <row r="8" spans="1:16">
      <c r="A8" s="8">
        <v>45717</v>
      </c>
      <c r="B8" s="12">
        <v>9810</v>
      </c>
      <c r="C8" s="13" t="s">
        <v>35</v>
      </c>
      <c r="D8" s="12">
        <v>50</v>
      </c>
      <c r="E8" s="12">
        <v>50</v>
      </c>
      <c r="F8" s="12"/>
      <c r="G8" s="12"/>
      <c r="H8" s="12" t="s">
        <v>10</v>
      </c>
      <c r="I8" s="14"/>
    </row>
    <row r="9" spans="1:16">
      <c r="A9" s="8">
        <v>45717</v>
      </c>
      <c r="B9" s="12">
        <v>813</v>
      </c>
      <c r="C9" s="13" t="s">
        <v>49</v>
      </c>
      <c r="D9" s="12">
        <v>216</v>
      </c>
      <c r="E9" s="12">
        <v>216</v>
      </c>
      <c r="F9" s="12"/>
      <c r="G9" s="12"/>
      <c r="H9" s="12" t="s">
        <v>10</v>
      </c>
      <c r="I9" s="14"/>
    </row>
    <row r="10" spans="1:16">
      <c r="A10" s="8">
        <v>45718</v>
      </c>
      <c r="B10" s="12">
        <v>817</v>
      </c>
      <c r="C10" s="13" t="s">
        <v>36</v>
      </c>
      <c r="D10" s="12">
        <v>512</v>
      </c>
      <c r="E10" s="12">
        <v>512</v>
      </c>
      <c r="F10" s="12"/>
      <c r="G10" s="12"/>
      <c r="H10" s="12" t="s">
        <v>10</v>
      </c>
      <c r="I10" s="14">
        <f>SUM(E10:E14)</f>
        <v>2696</v>
      </c>
    </row>
    <row r="11" spans="1:16">
      <c r="A11" s="8">
        <v>45718</v>
      </c>
      <c r="B11" s="12">
        <v>826</v>
      </c>
      <c r="C11" s="13" t="s">
        <v>146</v>
      </c>
      <c r="D11" s="12">
        <v>308</v>
      </c>
      <c r="E11" s="12">
        <v>308</v>
      </c>
      <c r="F11" s="12"/>
      <c r="G11" s="12"/>
      <c r="H11" s="12" t="s">
        <v>10</v>
      </c>
      <c r="I11" s="14"/>
    </row>
    <row r="12" spans="1:16">
      <c r="A12" s="8">
        <v>45718</v>
      </c>
      <c r="B12" s="12">
        <v>827</v>
      </c>
      <c r="C12" s="13" t="s">
        <v>50</v>
      </c>
      <c r="D12" s="12">
        <v>992</v>
      </c>
      <c r="E12" s="12">
        <v>992</v>
      </c>
      <c r="F12" s="12"/>
      <c r="G12" s="12"/>
      <c r="H12" s="12" t="s">
        <v>10</v>
      </c>
      <c r="I12" s="14"/>
    </row>
    <row r="13" spans="1:16">
      <c r="A13" s="8">
        <v>45718</v>
      </c>
      <c r="B13" s="12">
        <v>9875</v>
      </c>
      <c r="C13" s="13" t="s">
        <v>43</v>
      </c>
      <c r="D13" s="12">
        <v>228</v>
      </c>
      <c r="E13" s="12">
        <v>228</v>
      </c>
      <c r="F13" s="12"/>
      <c r="G13" s="12"/>
      <c r="H13" s="12" t="s">
        <v>10</v>
      </c>
      <c r="I13" s="14"/>
    </row>
    <row r="14" spans="1:16">
      <c r="A14" s="8">
        <v>45718</v>
      </c>
      <c r="B14" s="12">
        <v>875</v>
      </c>
      <c r="C14" s="13" t="s">
        <v>42</v>
      </c>
      <c r="D14" s="12">
        <v>656</v>
      </c>
      <c r="E14" s="12">
        <v>656</v>
      </c>
      <c r="F14" s="12"/>
      <c r="G14" s="12"/>
      <c r="H14" s="12" t="s">
        <v>10</v>
      </c>
      <c r="I14" s="14"/>
    </row>
    <row r="15" spans="1:16">
      <c r="A15" s="8">
        <v>45719</v>
      </c>
      <c r="B15" s="12">
        <v>880</v>
      </c>
      <c r="C15" s="13" t="s">
        <v>32</v>
      </c>
      <c r="D15" s="12">
        <v>287</v>
      </c>
      <c r="E15" s="12">
        <v>287</v>
      </c>
      <c r="F15" s="12"/>
      <c r="G15" s="12"/>
      <c r="H15" s="12" t="s">
        <v>10</v>
      </c>
      <c r="I15" s="14">
        <f>SUM(E15:E25)</f>
        <v>2015</v>
      </c>
    </row>
    <row r="16" spans="1:16">
      <c r="A16" s="8">
        <v>45719</v>
      </c>
      <c r="B16" s="12">
        <v>609</v>
      </c>
      <c r="C16" s="13" t="s">
        <v>33</v>
      </c>
      <c r="D16" s="12">
        <v>261</v>
      </c>
      <c r="E16" s="12">
        <v>261</v>
      </c>
      <c r="F16" s="12"/>
      <c r="G16" s="12"/>
      <c r="H16" s="12" t="s">
        <v>10</v>
      </c>
      <c r="I16" s="14"/>
    </row>
    <row r="17" spans="1:9">
      <c r="A17" s="8">
        <v>45719</v>
      </c>
      <c r="B17" s="12">
        <v>818</v>
      </c>
      <c r="C17" s="13" t="s">
        <v>37</v>
      </c>
      <c r="D17" s="12">
        <v>405</v>
      </c>
      <c r="E17" s="12">
        <v>405</v>
      </c>
      <c r="F17" s="12"/>
      <c r="G17" s="12"/>
      <c r="H17" s="12" t="s">
        <v>10</v>
      </c>
      <c r="I17" s="14"/>
    </row>
    <row r="18" spans="1:9">
      <c r="A18" s="8">
        <v>45719</v>
      </c>
      <c r="B18" s="12">
        <v>887</v>
      </c>
      <c r="C18" s="13" t="s">
        <v>138</v>
      </c>
      <c r="D18" s="12">
        <v>321</v>
      </c>
      <c r="E18" s="12">
        <v>321</v>
      </c>
      <c r="F18" s="12"/>
      <c r="G18" s="12"/>
      <c r="H18" s="12" t="s">
        <v>10</v>
      </c>
      <c r="I18" s="14"/>
    </row>
    <row r="19" spans="1:9">
      <c r="A19" s="8">
        <v>45719</v>
      </c>
      <c r="B19" s="12">
        <v>896</v>
      </c>
      <c r="C19" s="13" t="s">
        <v>31</v>
      </c>
      <c r="D19" s="12">
        <v>228</v>
      </c>
      <c r="E19" s="12">
        <v>228</v>
      </c>
      <c r="F19" s="12"/>
      <c r="G19" s="12"/>
      <c r="H19" s="12" t="s">
        <v>10</v>
      </c>
      <c r="I19" s="14"/>
    </row>
    <row r="20" spans="1:9">
      <c r="A20" s="8">
        <v>45719</v>
      </c>
      <c r="B20" s="12">
        <v>827</v>
      </c>
      <c r="C20" s="13" t="s">
        <v>50</v>
      </c>
      <c r="D20" s="12">
        <v>468</v>
      </c>
      <c r="E20" s="12">
        <v>468</v>
      </c>
      <c r="F20" s="12"/>
      <c r="G20" s="12"/>
      <c r="H20" s="12" t="s">
        <v>10</v>
      </c>
      <c r="I20" s="14"/>
    </row>
    <row r="21" spans="1:9">
      <c r="A21" s="8">
        <v>45719</v>
      </c>
      <c r="B21" s="12">
        <v>9875</v>
      </c>
      <c r="C21" s="13" t="s">
        <v>43</v>
      </c>
      <c r="D21" s="12">
        <v>11</v>
      </c>
      <c r="E21" s="12">
        <v>11</v>
      </c>
      <c r="F21" s="12"/>
      <c r="G21" s="12"/>
      <c r="H21" s="12" t="s">
        <v>10</v>
      </c>
      <c r="I21" s="14"/>
    </row>
    <row r="22" spans="1:9">
      <c r="A22" s="8">
        <v>45719</v>
      </c>
      <c r="B22" s="12">
        <v>807</v>
      </c>
      <c r="C22" s="13" t="s">
        <v>52</v>
      </c>
      <c r="D22" s="12">
        <v>8</v>
      </c>
      <c r="E22" s="12">
        <v>8</v>
      </c>
      <c r="F22" s="12"/>
      <c r="G22" s="12"/>
      <c r="H22" s="12" t="s">
        <v>10</v>
      </c>
      <c r="I22" s="14"/>
    </row>
    <row r="23" spans="1:9">
      <c r="A23" s="8">
        <v>45719</v>
      </c>
      <c r="B23" s="12">
        <v>810</v>
      </c>
      <c r="C23" s="13" t="s">
        <v>34</v>
      </c>
      <c r="D23" s="12">
        <v>8</v>
      </c>
      <c r="E23" s="12">
        <v>8</v>
      </c>
      <c r="F23" s="12"/>
      <c r="G23" s="12"/>
      <c r="H23" s="12" t="s">
        <v>10</v>
      </c>
      <c r="I23" s="14"/>
    </row>
    <row r="24" spans="1:9">
      <c r="A24" s="8">
        <v>45719</v>
      </c>
      <c r="B24" s="12">
        <v>888</v>
      </c>
      <c r="C24" s="13" t="s">
        <v>135</v>
      </c>
      <c r="D24" s="12">
        <v>8</v>
      </c>
      <c r="E24" s="12">
        <v>8</v>
      </c>
      <c r="F24" s="12"/>
      <c r="G24" s="12"/>
      <c r="H24" s="12" t="s">
        <v>10</v>
      </c>
      <c r="I24" s="14"/>
    </row>
    <row r="25" spans="1:9">
      <c r="A25" s="8">
        <v>45719</v>
      </c>
      <c r="B25" s="12">
        <v>813</v>
      </c>
      <c r="C25" s="13" t="s">
        <v>49</v>
      </c>
      <c r="D25" s="12">
        <v>10</v>
      </c>
      <c r="E25" s="12">
        <v>10</v>
      </c>
      <c r="F25" s="12"/>
      <c r="G25" s="12"/>
      <c r="H25" s="12" t="s">
        <v>10</v>
      </c>
      <c r="I25" s="14"/>
    </row>
    <row r="26" spans="1:9">
      <c r="A26" s="8">
        <v>45720</v>
      </c>
      <c r="B26" s="12">
        <v>9875</v>
      </c>
      <c r="C26" s="13" t="s">
        <v>43</v>
      </c>
      <c r="D26" s="12">
        <v>296</v>
      </c>
      <c r="E26" s="12">
        <v>296</v>
      </c>
      <c r="F26" s="12"/>
      <c r="G26" s="12"/>
      <c r="H26" s="12" t="s">
        <v>10</v>
      </c>
      <c r="I26" s="14">
        <f>SUM(E26:E38)</f>
        <v>4184</v>
      </c>
    </row>
    <row r="27" spans="1:9">
      <c r="A27" s="8">
        <v>45720</v>
      </c>
      <c r="B27" s="12">
        <v>827</v>
      </c>
      <c r="C27" s="13" t="s">
        <v>50</v>
      </c>
      <c r="D27" s="12">
        <v>632</v>
      </c>
      <c r="E27" s="12">
        <v>632</v>
      </c>
      <c r="F27" s="12"/>
      <c r="G27" s="12"/>
      <c r="H27" s="12" t="s">
        <v>10</v>
      </c>
      <c r="I27" s="14"/>
    </row>
    <row r="28" spans="1:9">
      <c r="A28" s="8">
        <v>45720</v>
      </c>
      <c r="B28" s="12">
        <v>826</v>
      </c>
      <c r="C28" s="13" t="s">
        <v>146</v>
      </c>
      <c r="D28" s="12">
        <v>282</v>
      </c>
      <c r="E28" s="12">
        <v>282</v>
      </c>
      <c r="F28" s="12"/>
      <c r="G28" s="12"/>
      <c r="H28" s="12" t="s">
        <v>10</v>
      </c>
      <c r="I28" s="14"/>
    </row>
    <row r="29" spans="1:9">
      <c r="A29" s="8">
        <v>45720</v>
      </c>
      <c r="B29" s="12">
        <v>828</v>
      </c>
      <c r="C29" s="13" t="s">
        <v>51</v>
      </c>
      <c r="D29" s="12">
        <v>165</v>
      </c>
      <c r="E29" s="12">
        <v>165</v>
      </c>
      <c r="F29" s="12"/>
      <c r="G29" s="12"/>
      <c r="H29" s="12" t="s">
        <v>10</v>
      </c>
      <c r="I29" s="14"/>
    </row>
    <row r="30" spans="1:9">
      <c r="A30" s="8">
        <v>45720</v>
      </c>
      <c r="B30" s="12">
        <v>817</v>
      </c>
      <c r="C30" s="13" t="s">
        <v>36</v>
      </c>
      <c r="D30" s="12">
        <v>270</v>
      </c>
      <c r="E30" s="12">
        <v>270</v>
      </c>
      <c r="F30" s="12"/>
      <c r="G30" s="12"/>
      <c r="H30" s="12" t="s">
        <v>10</v>
      </c>
      <c r="I30" s="14"/>
    </row>
    <row r="31" spans="1:9">
      <c r="A31" s="8">
        <v>45720</v>
      </c>
      <c r="B31" s="12">
        <v>818</v>
      </c>
      <c r="C31" s="13" t="s">
        <v>37</v>
      </c>
      <c r="D31" s="12">
        <v>330</v>
      </c>
      <c r="E31" s="12">
        <v>330</v>
      </c>
      <c r="F31" s="12"/>
      <c r="G31" s="12"/>
      <c r="H31" s="12" t="s">
        <v>10</v>
      </c>
      <c r="I31" s="14"/>
    </row>
    <row r="32" spans="1:9">
      <c r="A32" s="8">
        <v>45720</v>
      </c>
      <c r="B32" s="12">
        <v>896</v>
      </c>
      <c r="C32" s="13" t="s">
        <v>31</v>
      </c>
      <c r="D32" s="12">
        <v>654</v>
      </c>
      <c r="E32" s="12">
        <v>654</v>
      </c>
      <c r="F32" s="12"/>
      <c r="G32" s="12"/>
      <c r="H32" s="12" t="s">
        <v>10</v>
      </c>
      <c r="I32" s="14"/>
    </row>
    <row r="33" spans="1:9">
      <c r="A33" s="8">
        <v>45720</v>
      </c>
      <c r="B33" s="12">
        <v>899</v>
      </c>
      <c r="C33" s="13" t="s">
        <v>134</v>
      </c>
      <c r="D33" s="12">
        <v>129</v>
      </c>
      <c r="E33" s="12">
        <v>129</v>
      </c>
      <c r="F33" s="12"/>
      <c r="G33" s="12"/>
      <c r="H33" s="12" t="s">
        <v>10</v>
      </c>
      <c r="I33" s="14"/>
    </row>
    <row r="34" spans="1:9">
      <c r="A34" s="8">
        <v>45720</v>
      </c>
      <c r="B34" s="12">
        <v>807</v>
      </c>
      <c r="C34" s="13" t="s">
        <v>52</v>
      </c>
      <c r="D34" s="12">
        <v>484</v>
      </c>
      <c r="E34" s="12">
        <v>484</v>
      </c>
      <c r="F34" s="12"/>
      <c r="G34" s="12"/>
      <c r="H34" s="12" t="s">
        <v>10</v>
      </c>
      <c r="I34" s="14"/>
    </row>
    <row r="35" spans="1:9">
      <c r="A35" s="8">
        <v>45720</v>
      </c>
      <c r="B35" s="12">
        <v>871</v>
      </c>
      <c r="C35" s="13" t="s">
        <v>63</v>
      </c>
      <c r="D35" s="12">
        <v>288</v>
      </c>
      <c r="E35" s="12">
        <v>288</v>
      </c>
      <c r="F35" s="12"/>
      <c r="G35" s="12"/>
      <c r="H35" s="12" t="s">
        <v>10</v>
      </c>
      <c r="I35" s="14"/>
    </row>
    <row r="36" spans="1:9">
      <c r="A36" s="8">
        <v>45720</v>
      </c>
      <c r="B36" s="12">
        <v>809</v>
      </c>
      <c r="C36" s="13" t="s">
        <v>38</v>
      </c>
      <c r="D36" s="12">
        <v>279</v>
      </c>
      <c r="E36" s="12">
        <v>279</v>
      </c>
      <c r="F36" s="12"/>
      <c r="G36" s="12"/>
      <c r="H36" s="12" t="s">
        <v>10</v>
      </c>
      <c r="I36" s="14"/>
    </row>
    <row r="37" spans="1:9">
      <c r="A37" s="8">
        <v>45720</v>
      </c>
      <c r="B37" s="12">
        <v>885</v>
      </c>
      <c r="C37" s="13" t="s">
        <v>48</v>
      </c>
      <c r="D37" s="12">
        <v>201</v>
      </c>
      <c r="E37" s="12">
        <v>201</v>
      </c>
      <c r="F37" s="12"/>
      <c r="G37" s="12"/>
      <c r="H37" s="12" t="s">
        <v>10</v>
      </c>
      <c r="I37" s="14"/>
    </row>
    <row r="38" spans="1:9">
      <c r="A38" s="8">
        <v>45720</v>
      </c>
      <c r="B38" s="12">
        <v>613</v>
      </c>
      <c r="C38" s="13" t="s">
        <v>39</v>
      </c>
      <c r="D38" s="12">
        <v>174</v>
      </c>
      <c r="E38" s="12">
        <v>174</v>
      </c>
      <c r="F38" s="12"/>
      <c r="G38" s="12"/>
      <c r="H38" s="12" t="s">
        <v>10</v>
      </c>
      <c r="I38" s="14"/>
    </row>
    <row r="39" spans="1:9">
      <c r="A39" s="8">
        <v>45721</v>
      </c>
      <c r="B39" s="12">
        <v>896</v>
      </c>
      <c r="C39" s="13" t="s">
        <v>31</v>
      </c>
      <c r="D39" s="12">
        <v>644</v>
      </c>
      <c r="E39" s="12">
        <v>644</v>
      </c>
      <c r="F39" s="12"/>
      <c r="G39" s="12"/>
      <c r="H39" s="12" t="s">
        <v>10</v>
      </c>
      <c r="I39" s="14">
        <f>SUM(E39:E45)</f>
        <v>2665</v>
      </c>
    </row>
    <row r="40" spans="1:9">
      <c r="A40" s="8">
        <v>45721</v>
      </c>
      <c r="B40" s="12">
        <v>880</v>
      </c>
      <c r="C40" s="13" t="s">
        <v>32</v>
      </c>
      <c r="D40" s="12">
        <v>210</v>
      </c>
      <c r="E40" s="12">
        <v>210</v>
      </c>
      <c r="F40" s="12"/>
      <c r="G40" s="12"/>
      <c r="H40" s="12" t="s">
        <v>10</v>
      </c>
      <c r="I40" s="14"/>
    </row>
    <row r="41" spans="1:9">
      <c r="A41" s="8">
        <v>45721</v>
      </c>
      <c r="B41" s="12">
        <v>809</v>
      </c>
      <c r="C41" s="13" t="s">
        <v>38</v>
      </c>
      <c r="D41" s="12">
        <v>411</v>
      </c>
      <c r="E41" s="12">
        <v>411</v>
      </c>
      <c r="F41" s="12"/>
      <c r="G41" s="12"/>
      <c r="H41" s="12" t="s">
        <v>10</v>
      </c>
      <c r="I41" s="14"/>
    </row>
    <row r="42" spans="1:9">
      <c r="A42" s="8">
        <v>45721</v>
      </c>
      <c r="B42" s="12">
        <v>613</v>
      </c>
      <c r="C42" s="13" t="s">
        <v>39</v>
      </c>
      <c r="D42" s="12">
        <v>318</v>
      </c>
      <c r="E42" s="12">
        <v>318</v>
      </c>
      <c r="F42" s="12"/>
      <c r="G42" s="12"/>
      <c r="H42" s="12" t="s">
        <v>10</v>
      </c>
      <c r="I42" s="14"/>
    </row>
    <row r="43" spans="1:9">
      <c r="A43" s="8">
        <v>45721</v>
      </c>
      <c r="B43" s="12">
        <v>885</v>
      </c>
      <c r="C43" s="13" t="s">
        <v>48</v>
      </c>
      <c r="D43" s="12">
        <v>264</v>
      </c>
      <c r="E43" s="12">
        <v>264</v>
      </c>
      <c r="F43" s="12"/>
      <c r="G43" s="12"/>
      <c r="H43" s="12" t="s">
        <v>10</v>
      </c>
      <c r="I43" s="14"/>
    </row>
    <row r="44" spans="1:9">
      <c r="A44" s="8">
        <v>45721</v>
      </c>
      <c r="B44" s="12">
        <v>833</v>
      </c>
      <c r="C44" s="13" t="s">
        <v>148</v>
      </c>
      <c r="D44" s="12">
        <v>644</v>
      </c>
      <c r="E44" s="12">
        <v>644</v>
      </c>
      <c r="F44" s="12"/>
      <c r="G44" s="12"/>
      <c r="H44" s="12" t="s">
        <v>10</v>
      </c>
      <c r="I44" s="14"/>
    </row>
    <row r="45" spans="1:9">
      <c r="A45" s="8">
        <v>45721</v>
      </c>
      <c r="B45" s="12">
        <v>9876</v>
      </c>
      <c r="C45" s="13" t="s">
        <v>149</v>
      </c>
      <c r="D45" s="12">
        <v>174</v>
      </c>
      <c r="E45" s="12">
        <v>174</v>
      </c>
      <c r="F45" s="12"/>
      <c r="G45" s="12"/>
      <c r="H45" s="12" t="s">
        <v>10</v>
      </c>
      <c r="I45" s="14"/>
    </row>
    <row r="46" spans="1:9">
      <c r="A46" s="8">
        <v>45722</v>
      </c>
      <c r="B46" s="12">
        <v>807</v>
      </c>
      <c r="C46" s="13" t="s">
        <v>52</v>
      </c>
      <c r="D46" s="12">
        <v>412</v>
      </c>
      <c r="E46" s="12">
        <v>412</v>
      </c>
      <c r="F46" s="12"/>
      <c r="G46" s="12"/>
      <c r="H46" s="12" t="s">
        <v>10</v>
      </c>
      <c r="I46" s="14">
        <f>SUM(E46:E53)</f>
        <v>4168</v>
      </c>
    </row>
    <row r="47" spans="1:9">
      <c r="A47" s="8">
        <v>45722</v>
      </c>
      <c r="B47" s="12">
        <v>875</v>
      </c>
      <c r="C47" s="13" t="s">
        <v>42</v>
      </c>
      <c r="D47" s="12">
        <v>237</v>
      </c>
      <c r="E47" s="12">
        <v>237</v>
      </c>
      <c r="F47" s="12"/>
      <c r="G47" s="12"/>
      <c r="H47" s="12" t="s">
        <v>10</v>
      </c>
      <c r="I47" s="14"/>
    </row>
    <row r="48" spans="1:9">
      <c r="A48" s="8">
        <v>45722</v>
      </c>
      <c r="B48" s="12">
        <v>876</v>
      </c>
      <c r="C48" s="13" t="s">
        <v>150</v>
      </c>
      <c r="D48" s="12">
        <v>135</v>
      </c>
      <c r="E48" s="12">
        <v>135</v>
      </c>
      <c r="F48" s="12"/>
      <c r="G48" s="12"/>
      <c r="H48" s="12" t="s">
        <v>10</v>
      </c>
      <c r="I48" s="14"/>
    </row>
    <row r="49" spans="1:9">
      <c r="A49" s="8">
        <v>45722</v>
      </c>
      <c r="B49" s="12">
        <v>896</v>
      </c>
      <c r="C49" s="13" t="s">
        <v>31</v>
      </c>
      <c r="D49" s="12">
        <v>462</v>
      </c>
      <c r="E49" s="12">
        <v>462</v>
      </c>
      <c r="F49" s="12"/>
      <c r="G49" s="12"/>
      <c r="H49" s="12" t="s">
        <v>10</v>
      </c>
      <c r="I49" s="14"/>
    </row>
    <row r="50" spans="1:9">
      <c r="A50" s="8">
        <v>45722</v>
      </c>
      <c r="B50" s="12">
        <v>880</v>
      </c>
      <c r="C50" s="13" t="s">
        <v>32</v>
      </c>
      <c r="D50" s="12">
        <v>534</v>
      </c>
      <c r="E50" s="12">
        <v>534</v>
      </c>
      <c r="F50" s="12"/>
      <c r="G50" s="12"/>
      <c r="H50" s="12" t="s">
        <v>10</v>
      </c>
      <c r="I50" s="14"/>
    </row>
    <row r="51" spans="1:9">
      <c r="A51" s="8">
        <v>45722</v>
      </c>
      <c r="B51" s="12">
        <v>831</v>
      </c>
      <c r="C51" s="13" t="s">
        <v>151</v>
      </c>
      <c r="D51" s="12">
        <v>312</v>
      </c>
      <c r="E51" s="12">
        <v>312</v>
      </c>
      <c r="F51" s="12"/>
      <c r="G51" s="12"/>
      <c r="H51" s="12" t="s">
        <v>10</v>
      </c>
      <c r="I51" s="14"/>
    </row>
    <row r="52" spans="1:9">
      <c r="A52" s="8">
        <v>45722</v>
      </c>
      <c r="B52" s="12">
        <v>827</v>
      </c>
      <c r="C52" s="13" t="s">
        <v>50</v>
      </c>
      <c r="D52" s="12">
        <v>1384</v>
      </c>
      <c r="E52" s="12">
        <v>1384</v>
      </c>
      <c r="F52" s="12"/>
      <c r="G52" s="12"/>
      <c r="H52" s="12" t="s">
        <v>10</v>
      </c>
      <c r="I52" s="14"/>
    </row>
    <row r="53" spans="1:9">
      <c r="A53" s="8">
        <v>45722</v>
      </c>
      <c r="B53" s="12">
        <v>828</v>
      </c>
      <c r="C53" s="13" t="s">
        <v>51</v>
      </c>
      <c r="D53" s="12">
        <v>692</v>
      </c>
      <c r="E53" s="12">
        <v>692</v>
      </c>
      <c r="F53" s="12"/>
      <c r="G53" s="12"/>
      <c r="H53" s="12" t="s">
        <v>10</v>
      </c>
      <c r="I53" s="14"/>
    </row>
    <row r="54" spans="1:9">
      <c r="A54" s="8">
        <v>45723</v>
      </c>
      <c r="B54" s="12">
        <v>875</v>
      </c>
      <c r="C54" s="13" t="s">
        <v>42</v>
      </c>
      <c r="D54" s="12">
        <v>20</v>
      </c>
      <c r="E54" s="12">
        <v>20</v>
      </c>
      <c r="F54" s="12"/>
      <c r="G54" s="12"/>
      <c r="H54" s="12" t="s">
        <v>10</v>
      </c>
      <c r="I54" s="14">
        <f>SUM(E54:E60)</f>
        <v>2232</v>
      </c>
    </row>
    <row r="55" spans="1:9">
      <c r="A55" s="8">
        <v>45723</v>
      </c>
      <c r="B55" s="12">
        <v>9875</v>
      </c>
      <c r="C55" s="13" t="s">
        <v>43</v>
      </c>
      <c r="D55" s="12">
        <v>138</v>
      </c>
      <c r="E55" s="12">
        <v>138</v>
      </c>
      <c r="F55" s="12"/>
      <c r="G55" s="12"/>
      <c r="H55" s="12" t="s">
        <v>10</v>
      </c>
      <c r="I55" s="14"/>
    </row>
    <row r="56" spans="1:9">
      <c r="A56" s="8">
        <v>45723</v>
      </c>
      <c r="B56" s="12">
        <v>613</v>
      </c>
      <c r="C56" s="13" t="s">
        <v>39</v>
      </c>
      <c r="D56" s="12">
        <v>452</v>
      </c>
      <c r="E56" s="12">
        <v>452</v>
      </c>
      <c r="F56" s="12"/>
      <c r="G56" s="12"/>
      <c r="H56" s="12" t="s">
        <v>10</v>
      </c>
      <c r="I56" s="14"/>
    </row>
    <row r="57" spans="1:9">
      <c r="A57" s="8">
        <v>45723</v>
      </c>
      <c r="B57" s="12">
        <v>896</v>
      </c>
      <c r="C57" s="13" t="s">
        <v>31</v>
      </c>
      <c r="D57" s="12">
        <v>248</v>
      </c>
      <c r="E57" s="12">
        <v>248</v>
      </c>
      <c r="F57" s="12"/>
      <c r="G57" s="12"/>
      <c r="H57" s="12" t="s">
        <v>10</v>
      </c>
      <c r="I57" s="14"/>
    </row>
    <row r="58" spans="1:9">
      <c r="A58" s="8">
        <v>45723</v>
      </c>
      <c r="B58" s="12">
        <v>880</v>
      </c>
      <c r="C58" s="13" t="s">
        <v>32</v>
      </c>
      <c r="D58" s="12">
        <v>488</v>
      </c>
      <c r="E58" s="12">
        <v>488</v>
      </c>
      <c r="F58" s="12"/>
      <c r="G58" s="12"/>
      <c r="H58" s="12" t="s">
        <v>10</v>
      </c>
      <c r="I58" s="14"/>
    </row>
    <row r="59" spans="1:9">
      <c r="A59" s="8">
        <v>45723</v>
      </c>
      <c r="B59" s="12">
        <v>827</v>
      </c>
      <c r="C59" s="13" t="s">
        <v>50</v>
      </c>
      <c r="D59" s="12">
        <v>654</v>
      </c>
      <c r="E59" s="12">
        <v>654</v>
      </c>
      <c r="F59" s="12"/>
      <c r="G59" s="12"/>
      <c r="H59" s="12" t="s">
        <v>10</v>
      </c>
      <c r="I59" s="14"/>
    </row>
    <row r="60" spans="1:9">
      <c r="A60" s="8">
        <v>45723</v>
      </c>
      <c r="B60" s="12">
        <v>832</v>
      </c>
      <c r="C60" s="13" t="s">
        <v>140</v>
      </c>
      <c r="D60" s="12">
        <v>232</v>
      </c>
      <c r="E60" s="12">
        <v>232</v>
      </c>
      <c r="F60" s="12"/>
      <c r="G60" s="12"/>
      <c r="H60" s="12" t="s">
        <v>10</v>
      </c>
      <c r="I60" s="14"/>
    </row>
    <row r="61" spans="1:9">
      <c r="A61" s="8">
        <v>45724</v>
      </c>
      <c r="B61" s="12">
        <v>807</v>
      </c>
      <c r="C61" s="13" t="s">
        <v>52</v>
      </c>
      <c r="D61" s="12">
        <v>105</v>
      </c>
      <c r="E61" s="12">
        <v>105</v>
      </c>
      <c r="F61" s="12"/>
      <c r="G61" s="12"/>
      <c r="H61" s="12" t="s">
        <v>10</v>
      </c>
      <c r="I61" s="14">
        <f>SUM(E61:E72)</f>
        <v>4187</v>
      </c>
    </row>
    <row r="62" spans="1:9">
      <c r="A62" s="8">
        <v>45724</v>
      </c>
      <c r="B62" s="12">
        <v>871</v>
      </c>
      <c r="C62" s="13" t="s">
        <v>63</v>
      </c>
      <c r="D62" s="12">
        <v>393</v>
      </c>
      <c r="E62" s="12">
        <v>393</v>
      </c>
      <c r="F62" s="12"/>
      <c r="G62" s="12"/>
      <c r="H62" s="12" t="s">
        <v>10</v>
      </c>
      <c r="I62" s="14"/>
    </row>
    <row r="63" spans="1:9">
      <c r="A63" s="8">
        <v>45724</v>
      </c>
      <c r="B63" s="12">
        <v>809</v>
      </c>
      <c r="C63" s="13" t="s">
        <v>38</v>
      </c>
      <c r="D63" s="12">
        <v>330</v>
      </c>
      <c r="E63" s="12">
        <v>330</v>
      </c>
      <c r="F63" s="12"/>
      <c r="G63" s="12"/>
      <c r="H63" s="12" t="s">
        <v>10</v>
      </c>
      <c r="I63" s="14"/>
    </row>
    <row r="64" spans="1:9">
      <c r="A64" s="8">
        <v>45724</v>
      </c>
      <c r="B64" s="12">
        <v>613</v>
      </c>
      <c r="C64" s="13" t="s">
        <v>39</v>
      </c>
      <c r="D64" s="12">
        <v>330</v>
      </c>
      <c r="E64" s="12">
        <v>330</v>
      </c>
      <c r="F64" s="12"/>
      <c r="G64" s="12"/>
      <c r="H64" s="12" t="s">
        <v>10</v>
      </c>
      <c r="I64" s="14"/>
    </row>
    <row r="65" spans="1:9">
      <c r="A65" s="8">
        <v>45724</v>
      </c>
      <c r="B65" s="12">
        <v>832</v>
      </c>
      <c r="C65" s="13" t="s">
        <v>140</v>
      </c>
      <c r="D65" s="12">
        <v>460</v>
      </c>
      <c r="E65" s="12">
        <v>460</v>
      </c>
      <c r="F65" s="12"/>
      <c r="G65" s="12"/>
      <c r="H65" s="12" t="s">
        <v>10</v>
      </c>
      <c r="I65" s="14"/>
    </row>
    <row r="66" spans="1:9">
      <c r="A66" s="8">
        <v>45724</v>
      </c>
      <c r="B66" s="12">
        <v>826</v>
      </c>
      <c r="C66" s="13" t="s">
        <v>146</v>
      </c>
      <c r="D66" s="12">
        <v>219</v>
      </c>
      <c r="E66" s="12">
        <v>219</v>
      </c>
      <c r="F66" s="12"/>
      <c r="G66" s="12"/>
      <c r="H66" s="12" t="s">
        <v>10</v>
      </c>
      <c r="I66" s="14"/>
    </row>
    <row r="67" spans="1:9">
      <c r="A67" s="8">
        <v>45724</v>
      </c>
      <c r="B67" s="12">
        <v>9875</v>
      </c>
      <c r="C67" s="13" t="s">
        <v>43</v>
      </c>
      <c r="D67" s="12">
        <v>340</v>
      </c>
      <c r="E67" s="12">
        <v>340</v>
      </c>
      <c r="F67" s="12"/>
      <c r="G67" s="12"/>
      <c r="H67" s="12" t="s">
        <v>10</v>
      </c>
      <c r="I67" s="14"/>
    </row>
    <row r="68" spans="1:9">
      <c r="A68" s="8">
        <v>45724</v>
      </c>
      <c r="B68" s="12">
        <v>609</v>
      </c>
      <c r="C68" s="13" t="s">
        <v>33</v>
      </c>
      <c r="D68" s="12">
        <v>273</v>
      </c>
      <c r="E68" s="12">
        <v>273</v>
      </c>
      <c r="F68" s="12"/>
      <c r="G68" s="12"/>
      <c r="H68" s="12" t="s">
        <v>10</v>
      </c>
      <c r="I68" s="14"/>
    </row>
    <row r="69" spans="1:9">
      <c r="A69" s="8">
        <v>45724</v>
      </c>
      <c r="B69" s="12">
        <v>880</v>
      </c>
      <c r="C69" s="13" t="s">
        <v>32</v>
      </c>
      <c r="D69" s="12">
        <v>390</v>
      </c>
      <c r="E69" s="12">
        <v>390</v>
      </c>
      <c r="F69" s="12"/>
      <c r="G69" s="12"/>
      <c r="H69" s="12" t="s">
        <v>10</v>
      </c>
      <c r="I69" s="14"/>
    </row>
    <row r="70" spans="1:9">
      <c r="A70" s="8">
        <v>45724</v>
      </c>
      <c r="B70" s="12">
        <v>896</v>
      </c>
      <c r="C70" s="13" t="s">
        <v>31</v>
      </c>
      <c r="D70" s="12">
        <v>459</v>
      </c>
      <c r="E70" s="12">
        <v>459</v>
      </c>
      <c r="F70" s="12"/>
      <c r="G70" s="12"/>
      <c r="H70" s="12" t="s">
        <v>10</v>
      </c>
      <c r="I70" s="14"/>
    </row>
    <row r="71" spans="1:9">
      <c r="A71" s="8">
        <v>45724</v>
      </c>
      <c r="B71" s="12">
        <v>832</v>
      </c>
      <c r="C71" s="13" t="s">
        <v>140</v>
      </c>
      <c r="D71" s="12">
        <v>552</v>
      </c>
      <c r="E71" s="12">
        <v>552</v>
      </c>
      <c r="F71" s="12"/>
      <c r="G71" s="12"/>
      <c r="H71" s="12" t="s">
        <v>10</v>
      </c>
      <c r="I71" s="14"/>
    </row>
    <row r="72" spans="1:9">
      <c r="A72" s="8">
        <v>45724</v>
      </c>
      <c r="B72" s="12">
        <v>813</v>
      </c>
      <c r="C72" s="13" t="s">
        <v>49</v>
      </c>
      <c r="D72" s="12">
        <v>336</v>
      </c>
      <c r="E72" s="12">
        <v>336</v>
      </c>
      <c r="F72" s="12"/>
      <c r="G72" s="12"/>
      <c r="H72" s="12" t="s">
        <v>10</v>
      </c>
      <c r="I72" s="14"/>
    </row>
    <row r="73" spans="1:9">
      <c r="A73" s="8">
        <v>45725</v>
      </c>
      <c r="B73" s="12">
        <v>827</v>
      </c>
      <c r="C73" s="13" t="s">
        <v>50</v>
      </c>
      <c r="D73" s="12">
        <v>804</v>
      </c>
      <c r="E73" s="12">
        <v>804</v>
      </c>
      <c r="F73" s="12"/>
      <c r="G73" s="12"/>
      <c r="H73" s="12" t="s">
        <v>10</v>
      </c>
      <c r="I73" s="14">
        <f>SUM(E73:E87)</f>
        <v>5098</v>
      </c>
    </row>
    <row r="74" spans="1:9">
      <c r="A74" s="8">
        <v>45725</v>
      </c>
      <c r="B74" s="12">
        <v>831</v>
      </c>
      <c r="C74" s="13" t="s">
        <v>151</v>
      </c>
      <c r="D74" s="12">
        <v>568</v>
      </c>
      <c r="E74" s="12">
        <v>568</v>
      </c>
      <c r="F74" s="12"/>
      <c r="G74" s="12"/>
      <c r="H74" s="12" t="s">
        <v>10</v>
      </c>
      <c r="I74" s="14"/>
    </row>
    <row r="75" spans="1:9">
      <c r="A75" s="8">
        <v>45725</v>
      </c>
      <c r="B75" s="12">
        <v>809</v>
      </c>
      <c r="C75" s="13" t="s">
        <v>38</v>
      </c>
      <c r="D75" s="12">
        <v>158</v>
      </c>
      <c r="E75" s="12">
        <v>158</v>
      </c>
      <c r="F75" s="12"/>
      <c r="G75" s="12"/>
      <c r="H75" s="12" t="s">
        <v>10</v>
      </c>
      <c r="I75" s="14"/>
    </row>
    <row r="76" spans="1:9">
      <c r="A76" s="8">
        <v>45725</v>
      </c>
      <c r="B76" s="12">
        <v>613</v>
      </c>
      <c r="C76" s="13" t="s">
        <v>39</v>
      </c>
      <c r="D76" s="12">
        <v>158</v>
      </c>
      <c r="E76" s="12">
        <v>158</v>
      </c>
      <c r="F76" s="12"/>
      <c r="G76" s="12"/>
      <c r="H76" s="12" t="s">
        <v>10</v>
      </c>
      <c r="I76" s="14"/>
    </row>
    <row r="77" spans="1:9">
      <c r="A77" s="8">
        <v>45725</v>
      </c>
      <c r="B77" s="12">
        <v>885</v>
      </c>
      <c r="C77" s="13" t="s">
        <v>48</v>
      </c>
      <c r="D77" s="12">
        <v>158</v>
      </c>
      <c r="E77" s="12">
        <v>158</v>
      </c>
      <c r="F77" s="12"/>
      <c r="G77" s="12"/>
      <c r="H77" s="12" t="s">
        <v>10</v>
      </c>
      <c r="I77" s="14"/>
    </row>
    <row r="78" spans="1:9">
      <c r="A78" s="8">
        <v>45725</v>
      </c>
      <c r="B78" s="12">
        <v>880</v>
      </c>
      <c r="C78" s="13" t="s">
        <v>32</v>
      </c>
      <c r="D78" s="12">
        <v>60</v>
      </c>
      <c r="E78" s="12">
        <v>60</v>
      </c>
      <c r="F78" s="12"/>
      <c r="G78" s="12"/>
      <c r="H78" s="12" t="s">
        <v>10</v>
      </c>
      <c r="I78" s="14"/>
    </row>
    <row r="79" spans="1:9">
      <c r="A79" s="8">
        <v>45725</v>
      </c>
      <c r="B79" s="12">
        <v>896</v>
      </c>
      <c r="C79" s="13" t="s">
        <v>31</v>
      </c>
      <c r="D79" s="12">
        <v>60</v>
      </c>
      <c r="E79" s="12">
        <v>60</v>
      </c>
      <c r="F79" s="12"/>
      <c r="G79" s="12"/>
      <c r="H79" s="12" t="s">
        <v>10</v>
      </c>
      <c r="I79" s="14"/>
    </row>
    <row r="80" spans="1:9">
      <c r="A80" s="8">
        <v>45725</v>
      </c>
      <c r="B80" s="12">
        <v>609</v>
      </c>
      <c r="C80" s="13" t="s">
        <v>33</v>
      </c>
      <c r="D80" s="12">
        <v>60</v>
      </c>
      <c r="E80" s="12">
        <v>60</v>
      </c>
      <c r="F80" s="12"/>
      <c r="G80" s="12"/>
      <c r="H80" s="12" t="s">
        <v>10</v>
      </c>
      <c r="I80" s="14"/>
    </row>
    <row r="81" spans="1:9">
      <c r="A81" s="8">
        <v>45725</v>
      </c>
      <c r="B81" s="12">
        <v>9875</v>
      </c>
      <c r="C81" s="13" t="s">
        <v>43</v>
      </c>
      <c r="D81" s="12">
        <v>40</v>
      </c>
      <c r="E81" s="12">
        <v>40</v>
      </c>
      <c r="F81" s="12"/>
      <c r="G81" s="12"/>
      <c r="H81" s="12" t="s">
        <v>10</v>
      </c>
      <c r="I81" s="14"/>
    </row>
    <row r="82" spans="1:9">
      <c r="A82" s="8">
        <v>45725</v>
      </c>
      <c r="B82" s="12">
        <v>9810</v>
      </c>
      <c r="C82" s="13" t="s">
        <v>35</v>
      </c>
      <c r="D82" s="12">
        <v>40</v>
      </c>
      <c r="E82" s="12">
        <v>40</v>
      </c>
      <c r="F82" s="12"/>
      <c r="G82" s="12"/>
      <c r="H82" s="12" t="s">
        <v>10</v>
      </c>
      <c r="I82" s="14"/>
    </row>
    <row r="83" spans="1:9">
      <c r="A83" s="8">
        <v>45725</v>
      </c>
      <c r="B83" s="12">
        <v>885</v>
      </c>
      <c r="C83" s="13" t="s">
        <v>48</v>
      </c>
      <c r="D83" s="12">
        <v>612</v>
      </c>
      <c r="E83" s="12">
        <v>612</v>
      </c>
      <c r="F83" s="12"/>
      <c r="G83" s="12"/>
      <c r="H83" s="12" t="s">
        <v>10</v>
      </c>
      <c r="I83" s="14"/>
    </row>
    <row r="84" spans="1:9">
      <c r="A84" s="8">
        <v>45725</v>
      </c>
      <c r="B84" s="12">
        <v>807</v>
      </c>
      <c r="C84" s="13" t="s">
        <v>52</v>
      </c>
      <c r="D84" s="12">
        <v>978</v>
      </c>
      <c r="E84" s="12">
        <v>978</v>
      </c>
      <c r="F84" s="12"/>
      <c r="G84" s="12"/>
      <c r="H84" s="12" t="s">
        <v>10</v>
      </c>
      <c r="I84" s="14"/>
    </row>
    <row r="85" spans="1:9">
      <c r="A85" s="8">
        <v>45725</v>
      </c>
      <c r="B85" s="12">
        <v>813</v>
      </c>
      <c r="C85" s="13" t="s">
        <v>49</v>
      </c>
      <c r="D85" s="12">
        <v>22</v>
      </c>
      <c r="E85" s="12">
        <v>22</v>
      </c>
      <c r="F85" s="12"/>
      <c r="G85" s="12"/>
      <c r="H85" s="12" t="s">
        <v>10</v>
      </c>
      <c r="I85" s="14"/>
    </row>
    <row r="86" spans="1:9">
      <c r="A86" s="8">
        <v>45725</v>
      </c>
      <c r="B86" s="12">
        <v>832</v>
      </c>
      <c r="C86" s="13" t="s">
        <v>140</v>
      </c>
      <c r="D86" s="12">
        <v>690</v>
      </c>
      <c r="E86" s="12">
        <v>690</v>
      </c>
      <c r="F86" s="12"/>
      <c r="G86" s="12"/>
      <c r="H86" s="12" t="s">
        <v>10</v>
      </c>
      <c r="I86" s="14"/>
    </row>
    <row r="87" spans="1:9">
      <c r="A87" s="8">
        <v>45725</v>
      </c>
      <c r="B87" s="12">
        <v>828</v>
      </c>
      <c r="C87" s="13" t="s">
        <v>51</v>
      </c>
      <c r="D87" s="12">
        <v>690</v>
      </c>
      <c r="E87" s="12">
        <v>690</v>
      </c>
      <c r="F87" s="12"/>
      <c r="G87" s="12"/>
      <c r="H87" s="12" t="s">
        <v>10</v>
      </c>
      <c r="I87" s="14"/>
    </row>
    <row r="88" spans="1:9">
      <c r="A88" s="8">
        <v>45726</v>
      </c>
      <c r="B88" s="12">
        <v>885</v>
      </c>
      <c r="C88" s="13" t="s">
        <v>48</v>
      </c>
      <c r="D88" s="12">
        <v>432</v>
      </c>
      <c r="E88" s="12">
        <v>432</v>
      </c>
      <c r="F88" s="12"/>
      <c r="G88" s="12"/>
      <c r="H88" s="12" t="s">
        <v>10</v>
      </c>
      <c r="I88" s="14">
        <f>SUM(E88:E102)</f>
        <v>4888</v>
      </c>
    </row>
    <row r="89" spans="1:9">
      <c r="A89" s="8">
        <v>45726</v>
      </c>
      <c r="B89" s="12">
        <v>613</v>
      </c>
      <c r="C89" s="13" t="s">
        <v>39</v>
      </c>
      <c r="D89" s="12">
        <v>285</v>
      </c>
      <c r="E89" s="12">
        <v>285</v>
      </c>
      <c r="F89" s="12"/>
      <c r="G89" s="12"/>
      <c r="H89" s="12" t="s">
        <v>10</v>
      </c>
      <c r="I89" s="14"/>
    </row>
    <row r="90" spans="1:9">
      <c r="A90" s="8">
        <v>45726</v>
      </c>
      <c r="B90" s="12">
        <v>809</v>
      </c>
      <c r="C90" s="13" t="s">
        <v>38</v>
      </c>
      <c r="D90" s="12">
        <v>198</v>
      </c>
      <c r="E90" s="12">
        <v>198</v>
      </c>
      <c r="F90" s="12"/>
      <c r="G90" s="12"/>
      <c r="H90" s="12" t="s">
        <v>10</v>
      </c>
      <c r="I90" s="14"/>
    </row>
    <row r="91" spans="1:9">
      <c r="A91" s="8">
        <v>45726</v>
      </c>
      <c r="B91" s="12">
        <v>875</v>
      </c>
      <c r="C91" s="13" t="s">
        <v>42</v>
      </c>
      <c r="D91" s="12">
        <v>296</v>
      </c>
      <c r="E91" s="12">
        <v>296</v>
      </c>
      <c r="F91" s="12"/>
      <c r="G91" s="12"/>
      <c r="H91" s="12" t="s">
        <v>10</v>
      </c>
      <c r="I91" s="14"/>
    </row>
    <row r="92" spans="1:9">
      <c r="A92" s="8">
        <v>45726</v>
      </c>
      <c r="B92" s="12">
        <v>9875</v>
      </c>
      <c r="C92" s="13" t="s">
        <v>43</v>
      </c>
      <c r="D92" s="12">
        <v>96</v>
      </c>
      <c r="E92" s="12">
        <v>96</v>
      </c>
      <c r="F92" s="12"/>
      <c r="G92" s="12"/>
      <c r="H92" s="12" t="s">
        <v>10</v>
      </c>
      <c r="I92" s="14"/>
    </row>
    <row r="93" spans="1:9">
      <c r="A93" s="8">
        <v>45726</v>
      </c>
      <c r="B93" s="12">
        <v>880</v>
      </c>
      <c r="C93" s="13" t="s">
        <v>32</v>
      </c>
      <c r="D93" s="12">
        <v>375</v>
      </c>
      <c r="E93" s="12">
        <v>375</v>
      </c>
      <c r="F93" s="12"/>
      <c r="G93" s="12"/>
      <c r="H93" s="12" t="s">
        <v>10</v>
      </c>
      <c r="I93" s="14"/>
    </row>
    <row r="94" spans="1:9">
      <c r="A94" s="8">
        <v>45726</v>
      </c>
      <c r="B94" s="12">
        <v>817</v>
      </c>
      <c r="C94" s="13" t="s">
        <v>36</v>
      </c>
      <c r="D94" s="12">
        <v>306</v>
      </c>
      <c r="E94" s="12">
        <v>306</v>
      </c>
      <c r="F94" s="12"/>
      <c r="G94" s="12"/>
      <c r="H94" s="12" t="s">
        <v>10</v>
      </c>
      <c r="I94" s="14"/>
    </row>
    <row r="95" spans="1:9">
      <c r="A95" s="8">
        <v>45726</v>
      </c>
      <c r="B95" s="12">
        <v>818</v>
      </c>
      <c r="C95" s="13" t="s">
        <v>37</v>
      </c>
      <c r="D95" s="12">
        <v>144</v>
      </c>
      <c r="E95" s="12">
        <v>144</v>
      </c>
      <c r="F95" s="12"/>
      <c r="G95" s="12"/>
      <c r="H95" s="12" t="s">
        <v>10</v>
      </c>
      <c r="I95" s="14"/>
    </row>
    <row r="96" spans="1:9">
      <c r="A96" s="8">
        <v>45726</v>
      </c>
      <c r="B96" s="12">
        <v>896</v>
      </c>
      <c r="C96" s="13" t="s">
        <v>31</v>
      </c>
      <c r="D96" s="12">
        <v>141</v>
      </c>
      <c r="E96" s="12">
        <v>141</v>
      </c>
      <c r="F96" s="12"/>
      <c r="G96" s="12"/>
      <c r="H96" s="12" t="s">
        <v>10</v>
      </c>
      <c r="I96" s="14"/>
    </row>
    <row r="97" spans="1:9">
      <c r="A97" s="8">
        <v>45726</v>
      </c>
      <c r="B97" s="12">
        <v>827</v>
      </c>
      <c r="C97" s="13" t="s">
        <v>50</v>
      </c>
      <c r="D97" s="12">
        <v>816</v>
      </c>
      <c r="E97" s="12">
        <v>816</v>
      </c>
      <c r="F97" s="12"/>
      <c r="G97" s="12"/>
      <c r="H97" s="12" t="s">
        <v>10</v>
      </c>
      <c r="I97" s="14"/>
    </row>
    <row r="98" spans="1:9">
      <c r="A98" s="8">
        <v>45726</v>
      </c>
      <c r="B98" s="12">
        <v>826</v>
      </c>
      <c r="C98" s="13" t="s">
        <v>146</v>
      </c>
      <c r="D98" s="12">
        <v>138</v>
      </c>
      <c r="E98" s="12">
        <v>138</v>
      </c>
      <c r="F98" s="12"/>
      <c r="G98" s="12"/>
      <c r="H98" s="12" t="s">
        <v>10</v>
      </c>
      <c r="I98" s="14"/>
    </row>
    <row r="99" spans="1:9">
      <c r="A99" s="8">
        <v>45726</v>
      </c>
      <c r="B99" s="12">
        <v>9810</v>
      </c>
      <c r="C99" s="13" t="s">
        <v>35</v>
      </c>
      <c r="D99" s="12">
        <v>153</v>
      </c>
      <c r="E99" s="12">
        <v>153</v>
      </c>
      <c r="F99" s="12"/>
      <c r="G99" s="12"/>
      <c r="H99" s="12" t="s">
        <v>10</v>
      </c>
      <c r="I99" s="14"/>
    </row>
    <row r="100" spans="1:9">
      <c r="A100" s="8">
        <v>45726</v>
      </c>
      <c r="B100" s="12">
        <v>813</v>
      </c>
      <c r="C100" s="13" t="s">
        <v>49</v>
      </c>
      <c r="D100" s="12">
        <v>120</v>
      </c>
      <c r="E100" s="12">
        <v>120</v>
      </c>
      <c r="F100" s="12"/>
      <c r="G100" s="12"/>
      <c r="H100" s="12" t="s">
        <v>10</v>
      </c>
      <c r="I100" s="14"/>
    </row>
    <row r="101" spans="1:9">
      <c r="A101" s="8">
        <v>45726</v>
      </c>
      <c r="B101" s="12">
        <v>828</v>
      </c>
      <c r="C101" s="13" t="s">
        <v>51</v>
      </c>
      <c r="D101" s="12">
        <v>768</v>
      </c>
      <c r="E101" s="12">
        <v>768</v>
      </c>
      <c r="F101" s="12"/>
      <c r="G101" s="12"/>
      <c r="H101" s="12" t="s">
        <v>10</v>
      </c>
      <c r="I101" s="14"/>
    </row>
    <row r="102" spans="1:9">
      <c r="A102" s="8">
        <v>45726</v>
      </c>
      <c r="B102" s="12">
        <v>832</v>
      </c>
      <c r="C102" s="13" t="s">
        <v>140</v>
      </c>
      <c r="D102" s="12">
        <v>620</v>
      </c>
      <c r="E102" s="12">
        <v>620</v>
      </c>
      <c r="F102" s="12"/>
      <c r="G102" s="12"/>
      <c r="H102" s="12" t="s">
        <v>10</v>
      </c>
      <c r="I102" s="14"/>
    </row>
    <row r="103" spans="1:9">
      <c r="A103" s="8">
        <v>45727</v>
      </c>
      <c r="B103" s="12">
        <v>613</v>
      </c>
      <c r="C103" s="13" t="s">
        <v>39</v>
      </c>
      <c r="D103" s="12">
        <v>399</v>
      </c>
      <c r="E103" s="12">
        <v>399</v>
      </c>
      <c r="F103" s="12"/>
      <c r="G103" s="12"/>
      <c r="H103" s="12" t="s">
        <v>10</v>
      </c>
      <c r="I103" s="14">
        <f>SUM(E103:E115)</f>
        <v>4283</v>
      </c>
    </row>
    <row r="104" spans="1:9">
      <c r="A104" s="8">
        <v>45727</v>
      </c>
      <c r="B104" s="12">
        <v>885</v>
      </c>
      <c r="C104" s="13" t="s">
        <v>48</v>
      </c>
      <c r="D104" s="12">
        <v>300</v>
      </c>
      <c r="E104" s="12">
        <v>300</v>
      </c>
      <c r="F104" s="12"/>
      <c r="G104" s="12"/>
      <c r="H104" s="12" t="s">
        <v>10</v>
      </c>
      <c r="I104" s="14"/>
    </row>
    <row r="105" spans="1:9">
      <c r="A105" s="8">
        <v>45727</v>
      </c>
      <c r="B105" s="12">
        <v>809</v>
      </c>
      <c r="C105" s="13" t="s">
        <v>38</v>
      </c>
      <c r="D105" s="12">
        <v>288</v>
      </c>
      <c r="E105" s="12">
        <v>288</v>
      </c>
      <c r="F105" s="12"/>
      <c r="G105" s="12"/>
      <c r="H105" s="12" t="s">
        <v>10</v>
      </c>
      <c r="I105" s="14"/>
    </row>
    <row r="106" spans="1:9">
      <c r="A106" s="8">
        <v>45727</v>
      </c>
      <c r="B106" s="12">
        <v>609</v>
      </c>
      <c r="C106" s="13" t="s">
        <v>33</v>
      </c>
      <c r="D106" s="12">
        <v>180</v>
      </c>
      <c r="E106" s="12">
        <v>180</v>
      </c>
      <c r="F106" s="12"/>
      <c r="G106" s="12"/>
      <c r="H106" s="12" t="s">
        <v>10</v>
      </c>
      <c r="I106" s="14"/>
    </row>
    <row r="107" spans="1:9">
      <c r="A107" s="8">
        <v>45727</v>
      </c>
      <c r="B107" s="12">
        <v>602</v>
      </c>
      <c r="C107" s="13" t="s">
        <v>152</v>
      </c>
      <c r="D107" s="12">
        <v>16</v>
      </c>
      <c r="E107" s="12">
        <v>16</v>
      </c>
      <c r="F107" s="12"/>
      <c r="G107" s="12"/>
      <c r="H107" s="12" t="s">
        <v>10</v>
      </c>
      <c r="I107" s="14"/>
    </row>
    <row r="108" spans="1:9">
      <c r="A108" s="8">
        <v>45727</v>
      </c>
      <c r="B108" s="12">
        <v>807</v>
      </c>
      <c r="C108" s="13" t="s">
        <v>52</v>
      </c>
      <c r="D108" s="12">
        <v>156</v>
      </c>
      <c r="E108" s="12">
        <v>156</v>
      </c>
      <c r="F108" s="12"/>
      <c r="G108" s="12"/>
      <c r="H108" s="12" t="s">
        <v>10</v>
      </c>
      <c r="I108" s="14"/>
    </row>
    <row r="109" spans="1:9">
      <c r="A109" s="8">
        <v>45727</v>
      </c>
      <c r="B109" s="12">
        <v>9875</v>
      </c>
      <c r="C109" s="13" t="s">
        <v>43</v>
      </c>
      <c r="D109" s="12">
        <v>174</v>
      </c>
      <c r="E109" s="12">
        <v>174</v>
      </c>
      <c r="F109" s="12"/>
      <c r="G109" s="12"/>
      <c r="H109" s="12" t="s">
        <v>10</v>
      </c>
      <c r="I109" s="14"/>
    </row>
    <row r="110" spans="1:9">
      <c r="A110" s="8">
        <v>45727</v>
      </c>
      <c r="B110" s="12">
        <v>832</v>
      </c>
      <c r="C110" s="13" t="s">
        <v>140</v>
      </c>
      <c r="D110" s="12">
        <v>735</v>
      </c>
      <c r="E110" s="12">
        <v>735</v>
      </c>
      <c r="F110" s="12"/>
      <c r="G110" s="12"/>
      <c r="H110" s="12" t="s">
        <v>10</v>
      </c>
      <c r="I110" s="14"/>
    </row>
    <row r="111" spans="1:9">
      <c r="A111" s="8">
        <v>45727</v>
      </c>
      <c r="B111" s="12">
        <v>827</v>
      </c>
      <c r="C111" s="13" t="s">
        <v>50</v>
      </c>
      <c r="D111" s="12">
        <v>645</v>
      </c>
      <c r="E111" s="12">
        <v>645</v>
      </c>
      <c r="F111" s="12"/>
      <c r="G111" s="12"/>
      <c r="H111" s="12" t="s">
        <v>10</v>
      </c>
      <c r="I111" s="14"/>
    </row>
    <row r="112" spans="1:9">
      <c r="A112" s="8">
        <v>45727</v>
      </c>
      <c r="B112" s="12">
        <v>9875</v>
      </c>
      <c r="C112" s="13" t="s">
        <v>43</v>
      </c>
      <c r="D112" s="12">
        <v>276</v>
      </c>
      <c r="E112" s="12">
        <v>276</v>
      </c>
      <c r="F112" s="12"/>
      <c r="G112" s="12"/>
      <c r="H112" s="12" t="s">
        <v>10</v>
      </c>
      <c r="I112" s="14"/>
    </row>
    <row r="113" spans="1:9">
      <c r="A113" s="8">
        <v>45727</v>
      </c>
      <c r="B113" s="12">
        <v>871</v>
      </c>
      <c r="C113" s="13" t="s">
        <v>63</v>
      </c>
      <c r="D113" s="12">
        <v>114</v>
      </c>
      <c r="E113" s="12">
        <v>114</v>
      </c>
      <c r="F113" s="12"/>
      <c r="G113" s="12"/>
      <c r="H113" s="12" t="s">
        <v>10</v>
      </c>
      <c r="I113" s="14"/>
    </row>
    <row r="114" spans="1:9">
      <c r="A114" s="8">
        <v>45727</v>
      </c>
      <c r="B114" s="12">
        <v>828</v>
      </c>
      <c r="C114" s="13" t="s">
        <v>51</v>
      </c>
      <c r="D114" s="12">
        <v>500</v>
      </c>
      <c r="E114" s="12">
        <v>500</v>
      </c>
      <c r="F114" s="12"/>
      <c r="G114" s="12"/>
      <c r="H114" s="12" t="s">
        <v>10</v>
      </c>
      <c r="I114" s="14"/>
    </row>
    <row r="115" spans="1:9">
      <c r="A115" s="8">
        <v>45727</v>
      </c>
      <c r="B115" s="12">
        <v>827</v>
      </c>
      <c r="C115" s="13" t="s">
        <v>50</v>
      </c>
      <c r="D115" s="12">
        <v>500</v>
      </c>
      <c r="E115" s="12">
        <v>500</v>
      </c>
      <c r="F115" s="12"/>
      <c r="G115" s="12"/>
      <c r="H115" s="12" t="s">
        <v>10</v>
      </c>
      <c r="I115" s="14"/>
    </row>
    <row r="116" spans="1:9">
      <c r="A116" s="8">
        <v>45728</v>
      </c>
      <c r="B116" s="12">
        <v>809</v>
      </c>
      <c r="C116" s="13" t="s">
        <v>38</v>
      </c>
      <c r="D116" s="12">
        <v>201</v>
      </c>
      <c r="E116" s="12">
        <v>201</v>
      </c>
      <c r="F116" s="12"/>
      <c r="G116" s="12"/>
      <c r="H116" s="12" t="s">
        <v>10</v>
      </c>
      <c r="I116" s="14">
        <f>SUM(E116:E123)</f>
        <v>2082</v>
      </c>
    </row>
    <row r="117" spans="1:9">
      <c r="A117" s="8">
        <v>45728</v>
      </c>
      <c r="B117" s="12">
        <v>885</v>
      </c>
      <c r="C117" s="13" t="s">
        <v>48</v>
      </c>
      <c r="D117" s="12">
        <v>144</v>
      </c>
      <c r="E117" s="12">
        <v>144</v>
      </c>
      <c r="F117" s="12"/>
      <c r="G117" s="12"/>
      <c r="H117" s="12" t="s">
        <v>10</v>
      </c>
      <c r="I117" s="14"/>
    </row>
    <row r="118" spans="1:9">
      <c r="A118" s="8">
        <v>45728</v>
      </c>
      <c r="B118" s="12">
        <v>813</v>
      </c>
      <c r="C118" s="13" t="s">
        <v>49</v>
      </c>
      <c r="D118" s="12">
        <v>136</v>
      </c>
      <c r="E118" s="12">
        <v>136</v>
      </c>
      <c r="F118" s="12"/>
      <c r="G118" s="12"/>
      <c r="H118" s="12" t="s">
        <v>10</v>
      </c>
      <c r="I118" s="14"/>
    </row>
    <row r="119" spans="1:9">
      <c r="A119" s="8">
        <v>45728</v>
      </c>
      <c r="B119" s="12">
        <v>9810</v>
      </c>
      <c r="C119" s="13" t="s">
        <v>35</v>
      </c>
      <c r="D119" s="12">
        <v>117</v>
      </c>
      <c r="E119" s="12">
        <v>117</v>
      </c>
      <c r="F119" s="12"/>
      <c r="G119" s="12"/>
      <c r="H119" s="12" t="s">
        <v>10</v>
      </c>
      <c r="I119" s="14"/>
    </row>
    <row r="120" spans="1:9">
      <c r="A120" s="8">
        <v>45728</v>
      </c>
      <c r="B120" s="12">
        <v>9875</v>
      </c>
      <c r="C120" s="13" t="s">
        <v>43</v>
      </c>
      <c r="D120" s="12">
        <v>120</v>
      </c>
      <c r="E120" s="12">
        <v>120</v>
      </c>
      <c r="F120" s="12"/>
      <c r="G120" s="12"/>
      <c r="H120" s="12" t="s">
        <v>10</v>
      </c>
      <c r="I120" s="14"/>
    </row>
    <row r="121" spans="1:9">
      <c r="A121" s="8">
        <v>45728</v>
      </c>
      <c r="B121" s="12">
        <v>828</v>
      </c>
      <c r="C121" s="13" t="s">
        <v>51</v>
      </c>
      <c r="D121" s="12">
        <v>424</v>
      </c>
      <c r="E121" s="12">
        <v>424</v>
      </c>
      <c r="F121" s="12"/>
      <c r="G121" s="12"/>
      <c r="H121" s="12" t="s">
        <v>10</v>
      </c>
      <c r="I121" s="14"/>
    </row>
    <row r="122" spans="1:9">
      <c r="A122" s="8">
        <v>45728</v>
      </c>
      <c r="B122" s="12">
        <v>827</v>
      </c>
      <c r="C122" s="13" t="s">
        <v>50</v>
      </c>
      <c r="D122" s="12">
        <v>628</v>
      </c>
      <c r="E122" s="12">
        <v>628</v>
      </c>
      <c r="F122" s="12"/>
      <c r="G122" s="12"/>
      <c r="H122" s="12" t="s">
        <v>10</v>
      </c>
      <c r="I122" s="14"/>
    </row>
    <row r="123" spans="1:9">
      <c r="A123" s="8">
        <v>45728</v>
      </c>
      <c r="B123" s="12">
        <v>875</v>
      </c>
      <c r="C123" s="13" t="s">
        <v>42</v>
      </c>
      <c r="D123" s="12">
        <v>312</v>
      </c>
      <c r="E123" s="12">
        <v>312</v>
      </c>
      <c r="F123" s="12"/>
      <c r="G123" s="12"/>
      <c r="H123" s="12" t="s">
        <v>10</v>
      </c>
      <c r="I123" s="14"/>
    </row>
    <row r="124" spans="1:9">
      <c r="A124" s="8">
        <v>45729</v>
      </c>
      <c r="B124" s="12">
        <v>809</v>
      </c>
      <c r="C124" s="13" t="s">
        <v>38</v>
      </c>
      <c r="D124" s="12">
        <v>489</v>
      </c>
      <c r="E124" s="12">
        <v>489</v>
      </c>
      <c r="F124" s="12"/>
      <c r="G124" s="12"/>
      <c r="H124" s="12" t="s">
        <v>10</v>
      </c>
      <c r="I124" s="14">
        <f>SUM(E124:E133)</f>
        <v>2982</v>
      </c>
    </row>
    <row r="125" spans="1:9">
      <c r="A125" s="8">
        <v>45729</v>
      </c>
      <c r="B125" s="12">
        <v>613</v>
      </c>
      <c r="C125" s="13" t="s">
        <v>39</v>
      </c>
      <c r="D125" s="12">
        <v>228</v>
      </c>
      <c r="E125" s="12">
        <v>228</v>
      </c>
      <c r="F125" s="12"/>
      <c r="G125" s="12"/>
      <c r="H125" s="12" t="s">
        <v>10</v>
      </c>
      <c r="I125" s="14"/>
    </row>
    <row r="126" spans="1:9">
      <c r="A126" s="8">
        <v>45729</v>
      </c>
      <c r="B126" s="12">
        <v>875</v>
      </c>
      <c r="C126" s="13" t="s">
        <v>42</v>
      </c>
      <c r="D126" s="12">
        <v>548</v>
      </c>
      <c r="E126" s="12">
        <v>548</v>
      </c>
      <c r="F126" s="12"/>
      <c r="G126" s="12"/>
      <c r="H126" s="12" t="s">
        <v>10</v>
      </c>
      <c r="I126" s="14"/>
    </row>
    <row r="127" spans="1:9">
      <c r="A127" s="8">
        <v>45729</v>
      </c>
      <c r="B127" s="12">
        <v>832</v>
      </c>
      <c r="C127" s="13" t="s">
        <v>140</v>
      </c>
      <c r="D127" s="12">
        <v>72</v>
      </c>
      <c r="E127" s="12">
        <v>72</v>
      </c>
      <c r="F127" s="12"/>
      <c r="G127" s="12"/>
      <c r="H127" s="12" t="s">
        <v>10</v>
      </c>
      <c r="I127" s="14"/>
    </row>
    <row r="128" spans="1:9">
      <c r="A128" s="8">
        <v>45729</v>
      </c>
      <c r="B128" s="12">
        <v>831</v>
      </c>
      <c r="C128" s="13" t="s">
        <v>151</v>
      </c>
      <c r="D128" s="12">
        <v>114</v>
      </c>
      <c r="E128" s="12">
        <v>114</v>
      </c>
      <c r="F128" s="12"/>
      <c r="G128" s="12"/>
      <c r="H128" s="12" t="s">
        <v>10</v>
      </c>
      <c r="I128" s="14"/>
    </row>
    <row r="129" spans="1:9">
      <c r="A129" s="8">
        <v>45729</v>
      </c>
      <c r="B129" s="12">
        <v>813</v>
      </c>
      <c r="C129" s="13" t="s">
        <v>49</v>
      </c>
      <c r="D129" s="12">
        <v>248</v>
      </c>
      <c r="E129" s="12">
        <v>248</v>
      </c>
      <c r="F129" s="12"/>
      <c r="G129" s="12"/>
      <c r="H129" s="12" t="s">
        <v>10</v>
      </c>
      <c r="I129" s="14"/>
    </row>
    <row r="130" spans="1:9">
      <c r="A130" s="8">
        <v>45729</v>
      </c>
      <c r="B130" s="12">
        <v>888</v>
      </c>
      <c r="C130" s="13" t="s">
        <v>135</v>
      </c>
      <c r="D130" s="12">
        <v>195</v>
      </c>
      <c r="E130" s="12">
        <v>195</v>
      </c>
      <c r="F130" s="12"/>
      <c r="G130" s="12"/>
      <c r="H130" s="12" t="s">
        <v>10</v>
      </c>
      <c r="I130" s="14"/>
    </row>
    <row r="131" spans="1:9">
      <c r="A131" s="8">
        <v>45729</v>
      </c>
      <c r="B131" s="12">
        <v>609</v>
      </c>
      <c r="C131" s="13" t="s">
        <v>33</v>
      </c>
      <c r="D131" s="12">
        <v>668</v>
      </c>
      <c r="E131" s="12">
        <v>668</v>
      </c>
      <c r="F131" s="12"/>
      <c r="G131" s="12"/>
      <c r="H131" s="12" t="s">
        <v>10</v>
      </c>
      <c r="I131" s="14"/>
    </row>
    <row r="132" spans="1:9">
      <c r="A132" s="8">
        <v>45729</v>
      </c>
      <c r="B132" s="12">
        <v>880</v>
      </c>
      <c r="C132" s="13" t="s">
        <v>32</v>
      </c>
      <c r="D132" s="12">
        <v>264</v>
      </c>
      <c r="E132" s="12">
        <v>264</v>
      </c>
      <c r="F132" s="12"/>
      <c r="G132" s="12"/>
      <c r="H132" s="12" t="s">
        <v>10</v>
      </c>
      <c r="I132" s="14"/>
    </row>
    <row r="133" spans="1:9">
      <c r="A133" s="8">
        <v>45729</v>
      </c>
      <c r="B133" s="12">
        <v>896</v>
      </c>
      <c r="C133" s="13" t="s">
        <v>31</v>
      </c>
      <c r="D133" s="12">
        <v>156</v>
      </c>
      <c r="E133" s="12">
        <v>156</v>
      </c>
      <c r="F133" s="12"/>
      <c r="G133" s="12"/>
      <c r="H133" s="12" t="s">
        <v>10</v>
      </c>
      <c r="I133" s="14"/>
    </row>
    <row r="134" spans="1:9">
      <c r="A134" s="8">
        <v>45730</v>
      </c>
      <c r="B134" s="12">
        <v>809</v>
      </c>
      <c r="C134" s="13" t="s">
        <v>38</v>
      </c>
      <c r="D134" s="12">
        <v>228</v>
      </c>
      <c r="E134" s="12">
        <v>228</v>
      </c>
      <c r="F134" s="12"/>
      <c r="G134" s="12"/>
      <c r="H134" s="12" t="s">
        <v>10</v>
      </c>
      <c r="I134" s="14">
        <f>SUM(E134:E146)</f>
        <v>3934</v>
      </c>
    </row>
    <row r="135" spans="1:9">
      <c r="A135" s="8">
        <v>45730</v>
      </c>
      <c r="B135" s="12">
        <v>613</v>
      </c>
      <c r="C135" s="13" t="s">
        <v>39</v>
      </c>
      <c r="D135" s="12">
        <v>30</v>
      </c>
      <c r="E135" s="12">
        <v>30</v>
      </c>
      <c r="F135" s="12"/>
      <c r="G135" s="12"/>
      <c r="H135" s="12" t="s">
        <v>10</v>
      </c>
      <c r="I135" s="14"/>
    </row>
    <row r="136" spans="1:9">
      <c r="A136" s="8">
        <v>45730</v>
      </c>
      <c r="B136" s="12">
        <v>875</v>
      </c>
      <c r="C136" s="13" t="s">
        <v>42</v>
      </c>
      <c r="D136" s="12">
        <v>276</v>
      </c>
      <c r="E136" s="12">
        <v>276</v>
      </c>
      <c r="F136" s="12"/>
      <c r="G136" s="12"/>
      <c r="H136" s="12" t="s">
        <v>10</v>
      </c>
      <c r="I136" s="14"/>
    </row>
    <row r="137" spans="1:9">
      <c r="A137" s="8">
        <v>45730</v>
      </c>
      <c r="B137" s="12">
        <v>9875</v>
      </c>
      <c r="C137" s="13" t="s">
        <v>43</v>
      </c>
      <c r="D137" s="12">
        <v>69</v>
      </c>
      <c r="E137" s="12">
        <v>69</v>
      </c>
      <c r="F137" s="12"/>
      <c r="G137" s="12"/>
      <c r="H137" s="12" t="s">
        <v>10</v>
      </c>
      <c r="I137" s="14"/>
    </row>
    <row r="138" spans="1:9">
      <c r="A138" s="8">
        <v>45730</v>
      </c>
      <c r="B138" s="12">
        <v>813</v>
      </c>
      <c r="C138" s="13" t="s">
        <v>49</v>
      </c>
      <c r="D138" s="12">
        <v>112</v>
      </c>
      <c r="E138" s="12">
        <v>112</v>
      </c>
      <c r="F138" s="12"/>
      <c r="G138" s="12"/>
      <c r="H138" s="12" t="s">
        <v>10</v>
      </c>
      <c r="I138" s="14"/>
    </row>
    <row r="139" spans="1:9">
      <c r="A139" s="8">
        <v>45730</v>
      </c>
      <c r="B139" s="12">
        <v>888</v>
      </c>
      <c r="C139" s="13" t="s">
        <v>135</v>
      </c>
      <c r="D139" s="12">
        <v>255</v>
      </c>
      <c r="E139" s="12">
        <v>255</v>
      </c>
      <c r="F139" s="12"/>
      <c r="G139" s="12"/>
      <c r="H139" s="12" t="s">
        <v>10</v>
      </c>
      <c r="I139" s="14"/>
    </row>
    <row r="140" spans="1:9">
      <c r="A140" s="8">
        <v>45730</v>
      </c>
      <c r="B140" s="12">
        <v>810</v>
      </c>
      <c r="C140" s="13" t="s">
        <v>34</v>
      </c>
      <c r="D140" s="12">
        <v>240</v>
      </c>
      <c r="E140" s="12">
        <v>240</v>
      </c>
      <c r="F140" s="12"/>
      <c r="G140" s="12"/>
      <c r="H140" s="12" t="s">
        <v>10</v>
      </c>
      <c r="I140" s="14"/>
    </row>
    <row r="141" spans="1:9">
      <c r="A141" s="8">
        <v>45730</v>
      </c>
      <c r="B141" s="12">
        <v>9810</v>
      </c>
      <c r="C141" s="13" t="s">
        <v>35</v>
      </c>
      <c r="D141" s="12">
        <v>93</v>
      </c>
      <c r="E141" s="12">
        <v>93</v>
      </c>
      <c r="F141" s="12"/>
      <c r="G141" s="12"/>
      <c r="H141" s="12" t="s">
        <v>10</v>
      </c>
      <c r="I141" s="14"/>
    </row>
    <row r="142" spans="1:9">
      <c r="A142" s="8">
        <v>45730</v>
      </c>
      <c r="B142" s="12">
        <v>896</v>
      </c>
      <c r="C142" s="13" t="s">
        <v>31</v>
      </c>
      <c r="D142" s="12">
        <v>700</v>
      </c>
      <c r="E142" s="12">
        <v>700</v>
      </c>
      <c r="F142" s="12"/>
      <c r="G142" s="12"/>
      <c r="H142" s="12" t="s">
        <v>10</v>
      </c>
      <c r="I142" s="14"/>
    </row>
    <row r="143" spans="1:9">
      <c r="A143" s="8">
        <v>45730</v>
      </c>
      <c r="B143" s="12">
        <v>609</v>
      </c>
      <c r="C143" s="13" t="s">
        <v>33</v>
      </c>
      <c r="D143" s="12">
        <v>640</v>
      </c>
      <c r="E143" s="12">
        <v>640</v>
      </c>
      <c r="F143" s="12"/>
      <c r="G143" s="12"/>
      <c r="H143" s="12" t="s">
        <v>10</v>
      </c>
      <c r="I143" s="14"/>
    </row>
    <row r="144" spans="1:9">
      <c r="A144" s="8">
        <v>45730</v>
      </c>
      <c r="B144" s="12">
        <v>817</v>
      </c>
      <c r="C144" s="13" t="s">
        <v>36</v>
      </c>
      <c r="D144" s="12">
        <v>544</v>
      </c>
      <c r="E144" s="12">
        <v>544</v>
      </c>
      <c r="F144" s="12"/>
      <c r="G144" s="12"/>
      <c r="H144" s="12" t="s">
        <v>10</v>
      </c>
      <c r="I144" s="14"/>
    </row>
    <row r="145" spans="1:9">
      <c r="A145" s="8">
        <v>45730</v>
      </c>
      <c r="B145" s="12">
        <v>818</v>
      </c>
      <c r="C145" s="13" t="s">
        <v>37</v>
      </c>
      <c r="D145" s="12">
        <v>468</v>
      </c>
      <c r="E145" s="12">
        <v>468</v>
      </c>
      <c r="F145" s="12"/>
      <c r="G145" s="12"/>
      <c r="H145" s="12" t="s">
        <v>10</v>
      </c>
      <c r="I145" s="14"/>
    </row>
    <row r="146" spans="1:9">
      <c r="A146" s="8">
        <v>45730</v>
      </c>
      <c r="B146" s="12">
        <v>880</v>
      </c>
      <c r="C146" s="13" t="s">
        <v>32</v>
      </c>
      <c r="D146" s="12">
        <v>279</v>
      </c>
      <c r="E146" s="12">
        <v>279</v>
      </c>
      <c r="F146" s="12"/>
      <c r="G146" s="12"/>
      <c r="H146" s="12" t="s">
        <v>10</v>
      </c>
      <c r="I146" s="14"/>
    </row>
    <row r="147" spans="1:9">
      <c r="A147" s="8">
        <v>45731</v>
      </c>
      <c r="B147" s="12">
        <v>609</v>
      </c>
      <c r="C147" s="13" t="s">
        <v>33</v>
      </c>
      <c r="D147" s="12">
        <v>640</v>
      </c>
      <c r="E147" s="12">
        <v>640</v>
      </c>
      <c r="F147" s="12"/>
      <c r="G147" s="12"/>
      <c r="H147" s="12" t="s">
        <v>10</v>
      </c>
      <c r="I147" s="14">
        <f>SUM(E147:E155)</f>
        <v>2846</v>
      </c>
    </row>
    <row r="148" spans="1:9">
      <c r="A148" s="8">
        <v>45731</v>
      </c>
      <c r="B148" s="12">
        <v>880</v>
      </c>
      <c r="C148" s="13" t="s">
        <v>32</v>
      </c>
      <c r="D148" s="12">
        <v>492</v>
      </c>
      <c r="E148" s="12">
        <v>492</v>
      </c>
      <c r="F148" s="12"/>
      <c r="G148" s="12"/>
      <c r="H148" s="12" t="s">
        <v>10</v>
      </c>
      <c r="I148" s="14"/>
    </row>
    <row r="149" spans="1:9">
      <c r="A149" s="8">
        <v>45731</v>
      </c>
      <c r="B149" s="12">
        <v>896</v>
      </c>
      <c r="C149" s="13" t="s">
        <v>31</v>
      </c>
      <c r="D149" s="12">
        <v>424</v>
      </c>
      <c r="E149" s="12">
        <v>424</v>
      </c>
      <c r="F149" s="12"/>
      <c r="G149" s="12"/>
      <c r="H149" s="12" t="s">
        <v>10</v>
      </c>
      <c r="I149" s="14"/>
    </row>
    <row r="150" spans="1:9">
      <c r="A150" s="8">
        <v>45731</v>
      </c>
      <c r="B150" s="12">
        <v>810</v>
      </c>
      <c r="C150" s="13" t="s">
        <v>34</v>
      </c>
      <c r="D150" s="12">
        <v>90</v>
      </c>
      <c r="E150" s="12">
        <v>90</v>
      </c>
      <c r="F150" s="12"/>
      <c r="G150" s="12"/>
      <c r="H150" s="12" t="s">
        <v>10</v>
      </c>
      <c r="I150" s="14"/>
    </row>
    <row r="151" spans="1:9">
      <c r="A151" s="8">
        <v>45731</v>
      </c>
      <c r="B151" s="12">
        <v>817</v>
      </c>
      <c r="C151" s="13" t="s">
        <v>36</v>
      </c>
      <c r="D151" s="12">
        <v>676</v>
      </c>
      <c r="E151" s="12">
        <v>676</v>
      </c>
      <c r="F151" s="12"/>
      <c r="G151" s="12"/>
      <c r="H151" s="12" t="s">
        <v>10</v>
      </c>
      <c r="I151" s="14"/>
    </row>
    <row r="152" spans="1:9">
      <c r="A152" s="8">
        <v>45731</v>
      </c>
      <c r="B152" s="12">
        <v>818</v>
      </c>
      <c r="C152" s="13" t="s">
        <v>37</v>
      </c>
      <c r="D152" s="12">
        <v>338</v>
      </c>
      <c r="E152" s="12">
        <v>338</v>
      </c>
      <c r="F152" s="12"/>
      <c r="G152" s="12"/>
      <c r="H152" s="12" t="s">
        <v>10</v>
      </c>
      <c r="I152" s="14"/>
    </row>
    <row r="153" spans="1:9">
      <c r="A153" s="8">
        <v>45731</v>
      </c>
      <c r="B153" s="12">
        <v>609</v>
      </c>
      <c r="C153" s="13" t="s">
        <v>33</v>
      </c>
      <c r="D153" s="12">
        <v>62</v>
      </c>
      <c r="E153" s="12">
        <v>62</v>
      </c>
      <c r="F153" s="12"/>
      <c r="G153" s="12"/>
      <c r="H153" s="12" t="s">
        <v>10</v>
      </c>
      <c r="I153" s="14"/>
    </row>
    <row r="154" spans="1:9">
      <c r="A154" s="8">
        <v>45731</v>
      </c>
      <c r="B154" s="12">
        <v>896</v>
      </c>
      <c r="C154" s="13" t="s">
        <v>31</v>
      </c>
      <c r="D154" s="12">
        <v>62</v>
      </c>
      <c r="E154" s="12">
        <v>62</v>
      </c>
      <c r="F154" s="12"/>
      <c r="G154" s="12"/>
      <c r="H154" s="12" t="s">
        <v>10</v>
      </c>
      <c r="I154" s="14"/>
    </row>
    <row r="155" spans="1:9">
      <c r="A155" s="8">
        <v>45731</v>
      </c>
      <c r="B155" s="12">
        <v>880</v>
      </c>
      <c r="C155" s="13" t="s">
        <v>32</v>
      </c>
      <c r="D155" s="12">
        <v>62</v>
      </c>
      <c r="E155" s="12">
        <v>62</v>
      </c>
      <c r="F155" s="12"/>
      <c r="G155" s="12"/>
      <c r="H155" s="12" t="s">
        <v>10</v>
      </c>
      <c r="I155" s="14"/>
    </row>
    <row r="156" spans="1:9">
      <c r="A156" s="8">
        <v>45732</v>
      </c>
      <c r="B156" s="12">
        <v>828</v>
      </c>
      <c r="C156" s="13" t="s">
        <v>51</v>
      </c>
      <c r="D156" s="12">
        <v>468</v>
      </c>
      <c r="E156" s="12">
        <v>468</v>
      </c>
      <c r="F156" s="12"/>
      <c r="G156" s="12"/>
      <c r="H156" s="12" t="s">
        <v>10</v>
      </c>
      <c r="I156" s="14">
        <f>SUM(E156:E163)</f>
        <v>3580</v>
      </c>
    </row>
    <row r="157" spans="1:9">
      <c r="A157" s="8">
        <v>45732</v>
      </c>
      <c r="B157" s="12">
        <v>896</v>
      </c>
      <c r="C157" s="13" t="s">
        <v>31</v>
      </c>
      <c r="D157" s="12">
        <v>486</v>
      </c>
      <c r="E157" s="12">
        <v>486</v>
      </c>
      <c r="F157" s="12"/>
      <c r="G157" s="12"/>
      <c r="H157" s="12" t="s">
        <v>10</v>
      </c>
      <c r="I157" s="14"/>
    </row>
    <row r="158" spans="1:9">
      <c r="A158" s="8">
        <v>45732</v>
      </c>
      <c r="B158" s="12">
        <v>609</v>
      </c>
      <c r="C158" s="13" t="s">
        <v>33</v>
      </c>
      <c r="D158" s="12">
        <v>411</v>
      </c>
      <c r="E158" s="12">
        <v>411</v>
      </c>
      <c r="F158" s="12"/>
      <c r="G158" s="12"/>
      <c r="H158" s="12" t="s">
        <v>10</v>
      </c>
      <c r="I158" s="14"/>
    </row>
    <row r="159" spans="1:9">
      <c r="A159" s="8">
        <v>45732</v>
      </c>
      <c r="B159" s="12">
        <v>880</v>
      </c>
      <c r="C159" s="13" t="s">
        <v>32</v>
      </c>
      <c r="D159" s="12">
        <v>351</v>
      </c>
      <c r="E159" s="12">
        <v>351</v>
      </c>
      <c r="F159" s="12"/>
      <c r="G159" s="12"/>
      <c r="H159" s="12" t="s">
        <v>10</v>
      </c>
      <c r="I159" s="14"/>
    </row>
    <row r="160" spans="1:9">
      <c r="A160" s="8">
        <v>45732</v>
      </c>
      <c r="B160" s="12">
        <v>818</v>
      </c>
      <c r="C160" s="13" t="s">
        <v>37</v>
      </c>
      <c r="D160" s="12">
        <v>588</v>
      </c>
      <c r="E160" s="12">
        <v>588</v>
      </c>
      <c r="F160" s="12"/>
      <c r="G160" s="12"/>
      <c r="H160" s="12" t="s">
        <v>10</v>
      </c>
      <c r="I160" s="14"/>
    </row>
    <row r="161" spans="1:9">
      <c r="A161" s="8">
        <v>45732</v>
      </c>
      <c r="B161" s="12">
        <v>817</v>
      </c>
      <c r="C161" s="13" t="s">
        <v>36</v>
      </c>
      <c r="D161" s="12">
        <v>572</v>
      </c>
      <c r="E161" s="12">
        <v>572</v>
      </c>
      <c r="F161" s="12"/>
      <c r="G161" s="12"/>
      <c r="H161" s="12" t="s">
        <v>10</v>
      </c>
      <c r="I161" s="14"/>
    </row>
    <row r="162" spans="1:9">
      <c r="A162" s="8">
        <v>45732</v>
      </c>
      <c r="B162" s="12">
        <v>809</v>
      </c>
      <c r="C162" s="13" t="s">
        <v>38</v>
      </c>
      <c r="D162" s="12">
        <v>444</v>
      </c>
      <c r="E162" s="12">
        <v>444</v>
      </c>
      <c r="F162" s="12"/>
      <c r="G162" s="12"/>
      <c r="H162" s="12" t="s">
        <v>10</v>
      </c>
      <c r="I162" s="14"/>
    </row>
    <row r="163" spans="1:9">
      <c r="A163" s="8">
        <v>45732</v>
      </c>
      <c r="B163" s="12">
        <v>813</v>
      </c>
      <c r="C163" s="13" t="s">
        <v>49</v>
      </c>
      <c r="D163" s="12">
        <v>260</v>
      </c>
      <c r="E163" s="12">
        <v>260</v>
      </c>
      <c r="F163" s="12"/>
      <c r="G163" s="12"/>
      <c r="H163" s="12" t="s">
        <v>10</v>
      </c>
      <c r="I163" s="14"/>
    </row>
    <row r="164" spans="1:9">
      <c r="A164" s="8">
        <v>45733</v>
      </c>
      <c r="B164" s="12">
        <v>888</v>
      </c>
      <c r="C164" s="13" t="s">
        <v>135</v>
      </c>
      <c r="D164" s="12">
        <v>560</v>
      </c>
      <c r="E164" s="12">
        <v>560</v>
      </c>
      <c r="F164" s="12"/>
      <c r="G164" s="12"/>
      <c r="H164" s="12" t="s">
        <v>10</v>
      </c>
      <c r="I164" s="14">
        <f>SUM(E164:E180)</f>
        <v>6448</v>
      </c>
    </row>
    <row r="165" spans="1:9">
      <c r="A165" s="8">
        <v>45733</v>
      </c>
      <c r="B165" s="12">
        <v>810</v>
      </c>
      <c r="C165" s="13" t="s">
        <v>34</v>
      </c>
      <c r="D165" s="12">
        <v>99</v>
      </c>
      <c r="E165" s="12">
        <v>99</v>
      </c>
      <c r="F165" s="12"/>
      <c r="G165" s="12"/>
      <c r="H165" s="12" t="s">
        <v>10</v>
      </c>
      <c r="I165" s="14"/>
    </row>
    <row r="166" spans="1:9">
      <c r="A166" s="8">
        <v>45733</v>
      </c>
      <c r="B166" s="12">
        <v>9810</v>
      </c>
      <c r="C166" s="13" t="s">
        <v>35</v>
      </c>
      <c r="D166" s="12">
        <v>20</v>
      </c>
      <c r="E166" s="12">
        <v>20</v>
      </c>
      <c r="F166" s="12"/>
      <c r="G166" s="12"/>
      <c r="H166" s="12" t="s">
        <v>10</v>
      </c>
      <c r="I166" s="14"/>
    </row>
    <row r="167" spans="1:9">
      <c r="A167" s="8">
        <v>45733</v>
      </c>
      <c r="B167" s="12">
        <v>807</v>
      </c>
      <c r="C167" s="13" t="s">
        <v>52</v>
      </c>
      <c r="D167" s="12">
        <v>432</v>
      </c>
      <c r="E167" s="12">
        <v>432</v>
      </c>
      <c r="F167" s="12"/>
      <c r="G167" s="12"/>
      <c r="H167" s="12" t="s">
        <v>10</v>
      </c>
      <c r="I167" s="14"/>
    </row>
    <row r="168" spans="1:9">
      <c r="A168" s="8">
        <v>45733</v>
      </c>
      <c r="B168" s="12">
        <v>9875</v>
      </c>
      <c r="C168" s="13" t="s">
        <v>43</v>
      </c>
      <c r="D168" s="12">
        <v>267</v>
      </c>
      <c r="E168" s="12">
        <v>267</v>
      </c>
      <c r="F168" s="12"/>
      <c r="G168" s="12"/>
      <c r="H168" s="12" t="s">
        <v>10</v>
      </c>
      <c r="I168" s="14"/>
    </row>
    <row r="169" spans="1:9">
      <c r="A169" s="8">
        <v>45733</v>
      </c>
      <c r="B169" s="12">
        <v>875</v>
      </c>
      <c r="C169" s="13" t="s">
        <v>42</v>
      </c>
      <c r="D169" s="12">
        <v>176</v>
      </c>
      <c r="E169" s="12">
        <v>176</v>
      </c>
      <c r="F169" s="12"/>
      <c r="G169" s="12"/>
      <c r="H169" s="12" t="s">
        <v>10</v>
      </c>
      <c r="I169" s="14"/>
    </row>
    <row r="170" spans="1:9">
      <c r="A170" s="8">
        <v>45733</v>
      </c>
      <c r="B170" s="12">
        <v>609</v>
      </c>
      <c r="C170" s="13" t="s">
        <v>33</v>
      </c>
      <c r="D170" s="12">
        <v>840</v>
      </c>
      <c r="E170" s="12">
        <v>840</v>
      </c>
      <c r="F170" s="12"/>
      <c r="G170" s="12"/>
      <c r="H170" s="12" t="s">
        <v>10</v>
      </c>
      <c r="I170" s="14"/>
    </row>
    <row r="171" spans="1:9">
      <c r="A171" s="8">
        <v>45733</v>
      </c>
      <c r="B171" s="12">
        <v>887</v>
      </c>
      <c r="C171" s="13" t="s">
        <v>138</v>
      </c>
      <c r="D171" s="12">
        <v>204</v>
      </c>
      <c r="E171" s="12">
        <v>204</v>
      </c>
      <c r="F171" s="12"/>
      <c r="G171" s="12"/>
      <c r="H171" s="12" t="s">
        <v>10</v>
      </c>
      <c r="I171" s="14"/>
    </row>
    <row r="172" spans="1:9">
      <c r="A172" s="8">
        <v>45733</v>
      </c>
      <c r="B172" s="12">
        <v>601</v>
      </c>
      <c r="C172" s="13" t="s">
        <v>145</v>
      </c>
      <c r="D172" s="12">
        <v>156</v>
      </c>
      <c r="E172" s="12">
        <v>156</v>
      </c>
      <c r="F172" s="12"/>
      <c r="G172" s="12"/>
      <c r="H172" s="12" t="s">
        <v>10</v>
      </c>
      <c r="I172" s="14"/>
    </row>
    <row r="173" spans="1:9">
      <c r="A173" s="8">
        <v>45733</v>
      </c>
      <c r="B173" s="12">
        <v>827</v>
      </c>
      <c r="C173" s="13" t="s">
        <v>50</v>
      </c>
      <c r="D173" s="12">
        <v>567</v>
      </c>
      <c r="E173" s="12">
        <v>567</v>
      </c>
      <c r="F173" s="12"/>
      <c r="G173" s="12"/>
      <c r="H173" s="12" t="s">
        <v>10</v>
      </c>
      <c r="I173" s="14"/>
    </row>
    <row r="174" spans="1:9">
      <c r="A174" s="8">
        <v>45733</v>
      </c>
      <c r="B174" s="12">
        <v>828</v>
      </c>
      <c r="C174" s="13" t="s">
        <v>51</v>
      </c>
      <c r="D174" s="12">
        <v>441</v>
      </c>
      <c r="E174" s="12">
        <v>441</v>
      </c>
      <c r="F174" s="12"/>
      <c r="G174" s="12"/>
      <c r="H174" s="12" t="s">
        <v>10</v>
      </c>
      <c r="I174" s="14"/>
    </row>
    <row r="175" spans="1:9">
      <c r="A175" s="8">
        <v>45733</v>
      </c>
      <c r="B175" s="12">
        <v>826</v>
      </c>
      <c r="C175" s="13" t="s">
        <v>146</v>
      </c>
      <c r="D175" s="12">
        <v>225</v>
      </c>
      <c r="E175" s="12">
        <v>225</v>
      </c>
      <c r="F175" s="12"/>
      <c r="G175" s="12"/>
      <c r="H175" s="12" t="s">
        <v>10</v>
      </c>
      <c r="I175" s="14"/>
    </row>
    <row r="176" spans="1:9">
      <c r="A176" s="8">
        <v>45733</v>
      </c>
      <c r="B176" s="12">
        <v>831</v>
      </c>
      <c r="C176" s="13" t="s">
        <v>151</v>
      </c>
      <c r="D176" s="12">
        <v>70</v>
      </c>
      <c r="E176" s="12">
        <v>70</v>
      </c>
      <c r="F176" s="12"/>
      <c r="G176" s="12"/>
      <c r="H176" s="12" t="s">
        <v>10</v>
      </c>
      <c r="I176" s="14"/>
    </row>
    <row r="177" spans="1:9">
      <c r="A177" s="8">
        <v>45733</v>
      </c>
      <c r="B177" s="12">
        <v>809</v>
      </c>
      <c r="C177" s="13" t="s">
        <v>38</v>
      </c>
      <c r="D177" s="12">
        <v>512</v>
      </c>
      <c r="E177" s="12">
        <v>512</v>
      </c>
      <c r="F177" s="12"/>
      <c r="G177" s="12"/>
      <c r="H177" s="12" t="s">
        <v>10</v>
      </c>
      <c r="I177" s="14"/>
    </row>
    <row r="178" spans="1:9">
      <c r="A178" s="8">
        <v>45733</v>
      </c>
      <c r="B178" s="12">
        <v>817</v>
      </c>
      <c r="C178" s="13" t="s">
        <v>36</v>
      </c>
      <c r="D178" s="12">
        <v>752</v>
      </c>
      <c r="E178" s="12">
        <v>752</v>
      </c>
      <c r="F178" s="12"/>
      <c r="G178" s="12"/>
      <c r="H178" s="12" t="s">
        <v>10</v>
      </c>
      <c r="I178" s="14"/>
    </row>
    <row r="179" spans="1:9">
      <c r="A179" s="8">
        <v>45733</v>
      </c>
      <c r="B179" s="12">
        <v>818</v>
      </c>
      <c r="C179" s="13" t="s">
        <v>37</v>
      </c>
      <c r="D179" s="12">
        <v>716</v>
      </c>
      <c r="E179" s="12">
        <v>716</v>
      </c>
      <c r="F179" s="12"/>
      <c r="G179" s="12"/>
      <c r="H179" s="12" t="s">
        <v>10</v>
      </c>
      <c r="I179" s="14"/>
    </row>
    <row r="180" spans="1:9">
      <c r="A180" s="8">
        <v>45733</v>
      </c>
      <c r="B180" s="15">
        <v>880</v>
      </c>
      <c r="C180" s="16" t="s">
        <v>32</v>
      </c>
      <c r="D180" s="15">
        <v>411</v>
      </c>
      <c r="E180" s="15">
        <v>411</v>
      </c>
      <c r="F180" s="15"/>
      <c r="G180" s="15"/>
      <c r="H180" s="15" t="s">
        <v>10</v>
      </c>
      <c r="I180" s="17"/>
    </row>
    <row r="181" spans="1:9">
      <c r="A181" s="8">
        <v>45734</v>
      </c>
      <c r="B181" s="1">
        <v>809</v>
      </c>
      <c r="C181" s="18" t="s">
        <v>38</v>
      </c>
      <c r="D181" s="1">
        <v>496</v>
      </c>
      <c r="E181" s="1">
        <v>496</v>
      </c>
      <c r="H181" s="15" t="s">
        <v>10</v>
      </c>
      <c r="I181" s="19">
        <f>SUM(E181:E189)</f>
        <v>5029</v>
      </c>
    </row>
    <row r="182" spans="1:9">
      <c r="A182" s="8">
        <v>45734</v>
      </c>
      <c r="B182" s="1">
        <v>827</v>
      </c>
      <c r="C182" s="18" t="s">
        <v>50</v>
      </c>
      <c r="D182" s="1">
        <v>972</v>
      </c>
      <c r="E182" s="1">
        <v>972</v>
      </c>
      <c r="H182" s="15" t="s">
        <v>10</v>
      </c>
      <c r="I182" s="19"/>
    </row>
    <row r="183" spans="1:9">
      <c r="A183" s="8">
        <v>45734</v>
      </c>
      <c r="B183" s="1">
        <v>880</v>
      </c>
      <c r="C183" s="18" t="s">
        <v>32</v>
      </c>
      <c r="D183" s="1">
        <v>468</v>
      </c>
      <c r="E183" s="1">
        <v>468</v>
      </c>
      <c r="H183" s="15" t="s">
        <v>10</v>
      </c>
      <c r="I183" s="19"/>
    </row>
    <row r="184" spans="1:9">
      <c r="A184" s="8">
        <v>45734</v>
      </c>
      <c r="B184" s="1">
        <v>609</v>
      </c>
      <c r="C184" s="18" t="s">
        <v>33</v>
      </c>
      <c r="D184" s="1">
        <v>864</v>
      </c>
      <c r="E184" s="1">
        <v>864</v>
      </c>
      <c r="H184" s="15" t="s">
        <v>10</v>
      </c>
      <c r="I184" s="19"/>
    </row>
    <row r="185" spans="1:9">
      <c r="A185" s="8">
        <v>45734</v>
      </c>
      <c r="B185" s="1">
        <v>807</v>
      </c>
      <c r="C185" s="18" t="s">
        <v>52</v>
      </c>
      <c r="D185" s="1">
        <v>756</v>
      </c>
      <c r="E185" s="1">
        <v>756</v>
      </c>
      <c r="H185" s="15" t="s">
        <v>10</v>
      </c>
      <c r="I185" s="19"/>
    </row>
    <row r="186" spans="1:9">
      <c r="A186" s="8">
        <v>45734</v>
      </c>
      <c r="B186" s="1">
        <v>875</v>
      </c>
      <c r="C186" s="18" t="s">
        <v>42</v>
      </c>
      <c r="D186" s="1">
        <v>360</v>
      </c>
      <c r="E186" s="1">
        <v>360</v>
      </c>
      <c r="H186" s="15" t="s">
        <v>10</v>
      </c>
      <c r="I186" s="19"/>
    </row>
    <row r="187" spans="1:9">
      <c r="A187" s="8">
        <v>45734</v>
      </c>
      <c r="B187" s="1">
        <v>9875</v>
      </c>
      <c r="C187" s="18" t="s">
        <v>43</v>
      </c>
      <c r="D187" s="1">
        <v>99</v>
      </c>
      <c r="E187" s="1">
        <v>99</v>
      </c>
      <c r="H187" s="15" t="s">
        <v>10</v>
      </c>
      <c r="I187" s="19"/>
    </row>
    <row r="188" spans="1:9">
      <c r="A188" s="8">
        <v>45734</v>
      </c>
      <c r="B188" s="1">
        <v>810</v>
      </c>
      <c r="C188" s="18" t="s">
        <v>34</v>
      </c>
      <c r="D188" s="1">
        <v>264</v>
      </c>
      <c r="E188" s="1">
        <v>264</v>
      </c>
      <c r="H188" s="15" t="s">
        <v>10</v>
      </c>
      <c r="I188" s="19"/>
    </row>
    <row r="189" spans="1:9">
      <c r="A189" s="8">
        <v>45734</v>
      </c>
      <c r="B189" s="1">
        <v>896</v>
      </c>
      <c r="C189" s="18" t="s">
        <v>31</v>
      </c>
      <c r="D189" s="1">
        <v>750</v>
      </c>
      <c r="E189" s="1">
        <v>750</v>
      </c>
      <c r="H189" s="15" t="s">
        <v>10</v>
      </c>
      <c r="I189" s="19"/>
    </row>
    <row r="190" spans="1:9">
      <c r="A190" s="8">
        <v>45735</v>
      </c>
      <c r="B190" s="1">
        <v>809</v>
      </c>
      <c r="C190" s="18" t="s">
        <v>38</v>
      </c>
      <c r="D190" s="1">
        <v>500</v>
      </c>
      <c r="E190" s="1">
        <v>500</v>
      </c>
      <c r="H190" s="15" t="s">
        <v>10</v>
      </c>
      <c r="I190" s="19">
        <f>SUM(E190:E203)</f>
        <v>8135</v>
      </c>
    </row>
    <row r="191" spans="1:9">
      <c r="A191" s="8">
        <v>45735</v>
      </c>
      <c r="B191" s="1">
        <v>613</v>
      </c>
      <c r="C191" s="18" t="s">
        <v>39</v>
      </c>
      <c r="D191" s="1">
        <v>352</v>
      </c>
      <c r="E191" s="1">
        <v>352</v>
      </c>
      <c r="H191" s="15" t="s">
        <v>10</v>
      </c>
      <c r="I191" s="19"/>
    </row>
    <row r="192" spans="1:9">
      <c r="A192" s="8">
        <v>45735</v>
      </c>
      <c r="B192" s="1">
        <v>871</v>
      </c>
      <c r="C192" s="18" t="s">
        <v>63</v>
      </c>
      <c r="D192" s="1">
        <v>204</v>
      </c>
      <c r="E192" s="1">
        <v>204</v>
      </c>
      <c r="H192" s="15" t="s">
        <v>10</v>
      </c>
      <c r="I192" s="19"/>
    </row>
    <row r="193" spans="1:9">
      <c r="A193" s="8">
        <v>45735</v>
      </c>
      <c r="B193" s="1">
        <v>807</v>
      </c>
      <c r="C193" s="18" t="s">
        <v>52</v>
      </c>
      <c r="D193" s="1">
        <v>780</v>
      </c>
      <c r="E193" s="1">
        <v>780</v>
      </c>
      <c r="H193" s="15" t="s">
        <v>10</v>
      </c>
      <c r="I193" s="19"/>
    </row>
    <row r="194" spans="1:9">
      <c r="A194" s="8">
        <v>45735</v>
      </c>
      <c r="B194" s="1">
        <v>875</v>
      </c>
      <c r="C194" s="18" t="s">
        <v>42</v>
      </c>
      <c r="D194" s="1">
        <v>529</v>
      </c>
      <c r="E194" s="1">
        <v>529</v>
      </c>
      <c r="H194" s="15" t="s">
        <v>10</v>
      </c>
      <c r="I194" s="19"/>
    </row>
    <row r="195" spans="1:9">
      <c r="A195" s="8">
        <v>45735</v>
      </c>
      <c r="B195" s="1">
        <v>876</v>
      </c>
      <c r="C195" s="18" t="s">
        <v>150</v>
      </c>
      <c r="D195" s="1">
        <v>31</v>
      </c>
      <c r="E195" s="1">
        <v>31</v>
      </c>
      <c r="H195" s="15" t="s">
        <v>10</v>
      </c>
      <c r="I195" s="19"/>
    </row>
    <row r="196" spans="1:9">
      <c r="A196" s="8">
        <v>45735</v>
      </c>
      <c r="B196" s="1">
        <v>609</v>
      </c>
      <c r="C196" s="18" t="s">
        <v>33</v>
      </c>
      <c r="D196" s="1">
        <v>846</v>
      </c>
      <c r="E196" s="1">
        <v>846</v>
      </c>
      <c r="H196" s="15" t="s">
        <v>10</v>
      </c>
      <c r="I196" s="19"/>
    </row>
    <row r="197" spans="1:9">
      <c r="A197" s="8">
        <v>45735</v>
      </c>
      <c r="B197" s="1">
        <v>810</v>
      </c>
      <c r="C197" s="18" t="s">
        <v>34</v>
      </c>
      <c r="D197" s="1">
        <v>219</v>
      </c>
      <c r="E197" s="1">
        <v>219</v>
      </c>
      <c r="H197" s="15" t="s">
        <v>10</v>
      </c>
      <c r="I197" s="19"/>
    </row>
    <row r="198" spans="1:9">
      <c r="A198" s="8">
        <v>45735</v>
      </c>
      <c r="B198" s="1">
        <v>828</v>
      </c>
      <c r="C198" s="18" t="s">
        <v>51</v>
      </c>
      <c r="D198" s="1">
        <v>816</v>
      </c>
      <c r="E198" s="1">
        <v>816</v>
      </c>
      <c r="H198" s="15" t="s">
        <v>10</v>
      </c>
      <c r="I198" s="19"/>
    </row>
    <row r="199" spans="1:9">
      <c r="A199" s="8">
        <v>45735</v>
      </c>
      <c r="B199" s="1">
        <v>827</v>
      </c>
      <c r="C199" s="18" t="s">
        <v>50</v>
      </c>
      <c r="D199" s="1">
        <v>1074</v>
      </c>
      <c r="E199" s="1">
        <v>1074</v>
      </c>
      <c r="H199" s="15" t="s">
        <v>10</v>
      </c>
      <c r="I199" s="19"/>
    </row>
    <row r="200" spans="1:9">
      <c r="A200" s="8">
        <v>45735</v>
      </c>
      <c r="B200" s="1">
        <v>880</v>
      </c>
      <c r="C200" s="18" t="s">
        <v>32</v>
      </c>
      <c r="D200" s="1">
        <v>570</v>
      </c>
      <c r="E200" s="1">
        <v>570</v>
      </c>
      <c r="H200" s="15" t="s">
        <v>10</v>
      </c>
      <c r="I200" s="19"/>
    </row>
    <row r="201" spans="1:9">
      <c r="A201" s="8">
        <v>45735</v>
      </c>
      <c r="B201" s="1">
        <v>896</v>
      </c>
      <c r="C201" s="18" t="s">
        <v>31</v>
      </c>
      <c r="D201" s="1">
        <v>770</v>
      </c>
      <c r="E201" s="1">
        <v>770</v>
      </c>
      <c r="H201" s="15" t="s">
        <v>10</v>
      </c>
      <c r="I201" s="19"/>
    </row>
    <row r="202" spans="1:9">
      <c r="A202" s="8">
        <v>45735</v>
      </c>
      <c r="B202" s="1">
        <v>609</v>
      </c>
      <c r="C202" s="18" t="s">
        <v>33</v>
      </c>
      <c r="D202" s="1">
        <v>948</v>
      </c>
      <c r="E202" s="1">
        <v>948</v>
      </c>
      <c r="H202" s="15" t="s">
        <v>10</v>
      </c>
      <c r="I202" s="19"/>
    </row>
    <row r="203" spans="1:9">
      <c r="A203" s="8">
        <v>45735</v>
      </c>
      <c r="B203" s="1">
        <v>809</v>
      </c>
      <c r="C203" s="18" t="s">
        <v>38</v>
      </c>
      <c r="D203" s="1">
        <v>496</v>
      </c>
      <c r="E203" s="1">
        <v>496</v>
      </c>
      <c r="H203" s="15" t="s">
        <v>10</v>
      </c>
      <c r="I203" s="19"/>
    </row>
    <row r="204" spans="1:9">
      <c r="A204" s="8">
        <v>45736</v>
      </c>
      <c r="B204" s="1">
        <v>828</v>
      </c>
      <c r="C204" s="18" t="s">
        <v>51</v>
      </c>
      <c r="D204" s="1">
        <v>984</v>
      </c>
      <c r="E204" s="1">
        <v>984</v>
      </c>
      <c r="H204" s="15" t="s">
        <v>10</v>
      </c>
      <c r="I204" s="19">
        <f>SUM(E204:E218)</f>
        <v>7513</v>
      </c>
    </row>
    <row r="205" spans="1:9">
      <c r="A205" s="8">
        <v>45736</v>
      </c>
      <c r="B205" s="1">
        <v>831</v>
      </c>
      <c r="C205" s="18" t="s">
        <v>151</v>
      </c>
      <c r="D205" s="1">
        <v>116</v>
      </c>
      <c r="E205" s="1">
        <v>116</v>
      </c>
      <c r="H205" s="15" t="s">
        <v>10</v>
      </c>
      <c r="I205" s="19"/>
    </row>
    <row r="206" spans="1:9">
      <c r="A206" s="8">
        <v>45736</v>
      </c>
      <c r="B206" s="1">
        <v>809</v>
      </c>
      <c r="C206" s="18" t="s">
        <v>38</v>
      </c>
      <c r="D206" s="1">
        <v>544</v>
      </c>
      <c r="E206" s="1">
        <v>544</v>
      </c>
      <c r="H206" s="15" t="s">
        <v>10</v>
      </c>
      <c r="I206" s="19"/>
    </row>
    <row r="207" spans="1:9">
      <c r="A207" s="8">
        <v>45736</v>
      </c>
      <c r="B207" s="1">
        <v>613</v>
      </c>
      <c r="C207" s="18" t="s">
        <v>39</v>
      </c>
      <c r="D207" s="1">
        <v>252</v>
      </c>
      <c r="E207" s="1">
        <v>252</v>
      </c>
      <c r="H207" s="15" t="s">
        <v>10</v>
      </c>
      <c r="I207" s="19"/>
    </row>
    <row r="208" spans="1:9">
      <c r="A208" s="8">
        <v>45736</v>
      </c>
      <c r="B208" s="1">
        <v>885</v>
      </c>
      <c r="C208" s="18" t="s">
        <v>48</v>
      </c>
      <c r="D208" s="1">
        <v>232</v>
      </c>
      <c r="E208" s="1">
        <v>232</v>
      </c>
      <c r="H208" s="15" t="s">
        <v>10</v>
      </c>
      <c r="I208" s="19"/>
    </row>
    <row r="209" spans="1:9">
      <c r="A209" s="8">
        <v>45736</v>
      </c>
      <c r="B209" s="1">
        <v>871</v>
      </c>
      <c r="C209" s="18" t="s">
        <v>63</v>
      </c>
      <c r="D209" s="1">
        <v>164</v>
      </c>
      <c r="E209" s="1">
        <v>164</v>
      </c>
      <c r="H209" s="15" t="s">
        <v>10</v>
      </c>
      <c r="I209" s="19"/>
    </row>
    <row r="210" spans="1:9">
      <c r="A210" s="8">
        <v>45736</v>
      </c>
      <c r="B210" s="1">
        <v>613</v>
      </c>
      <c r="C210" s="18" t="s">
        <v>39</v>
      </c>
      <c r="D210" s="1">
        <v>264</v>
      </c>
      <c r="E210" s="1">
        <v>264</v>
      </c>
      <c r="H210" s="15" t="s">
        <v>10</v>
      </c>
      <c r="I210" s="19"/>
    </row>
    <row r="211" spans="1:9">
      <c r="A211" s="8">
        <v>45736</v>
      </c>
      <c r="B211" s="1">
        <v>813</v>
      </c>
      <c r="C211" s="18" t="s">
        <v>49</v>
      </c>
      <c r="D211" s="1">
        <v>642</v>
      </c>
      <c r="E211" s="1">
        <v>642</v>
      </c>
      <c r="H211" s="15" t="s">
        <v>10</v>
      </c>
      <c r="I211" s="19"/>
    </row>
    <row r="212" spans="1:9">
      <c r="A212" s="8">
        <v>45736</v>
      </c>
      <c r="B212" s="1">
        <v>9810</v>
      </c>
      <c r="C212" s="18" t="s">
        <v>35</v>
      </c>
      <c r="D212" s="1">
        <v>50</v>
      </c>
      <c r="E212" s="1">
        <v>50</v>
      </c>
      <c r="H212" s="15" t="s">
        <v>10</v>
      </c>
      <c r="I212" s="19"/>
    </row>
    <row r="213" spans="1:9">
      <c r="A213" s="8">
        <v>45736</v>
      </c>
      <c r="B213" s="1">
        <v>9875</v>
      </c>
      <c r="C213" s="18" t="s">
        <v>43</v>
      </c>
      <c r="D213" s="1">
        <v>228</v>
      </c>
      <c r="E213" s="1">
        <v>228</v>
      </c>
      <c r="H213" s="15" t="s">
        <v>10</v>
      </c>
      <c r="I213" s="19"/>
    </row>
    <row r="214" spans="1:9">
      <c r="A214" s="8">
        <v>45736</v>
      </c>
      <c r="B214" s="1">
        <v>827</v>
      </c>
      <c r="C214" s="18" t="s">
        <v>50</v>
      </c>
      <c r="D214" s="1">
        <v>1670</v>
      </c>
      <c r="E214" s="1">
        <v>1670</v>
      </c>
      <c r="H214" s="15" t="s">
        <v>10</v>
      </c>
      <c r="I214" s="19"/>
    </row>
    <row r="215" spans="1:9">
      <c r="A215" s="8">
        <v>45736</v>
      </c>
      <c r="B215" s="1">
        <v>896</v>
      </c>
      <c r="C215" s="18" t="s">
        <v>31</v>
      </c>
      <c r="D215" s="1">
        <v>580</v>
      </c>
      <c r="E215" s="1">
        <v>580</v>
      </c>
      <c r="H215" s="15" t="s">
        <v>10</v>
      </c>
      <c r="I215" s="19"/>
    </row>
    <row r="216" spans="1:9">
      <c r="A216" s="8">
        <v>45736</v>
      </c>
      <c r="B216" s="1">
        <v>609</v>
      </c>
      <c r="C216" s="18" t="s">
        <v>33</v>
      </c>
      <c r="D216" s="1">
        <v>1015</v>
      </c>
      <c r="E216" s="1">
        <v>1015</v>
      </c>
      <c r="H216" s="15" t="s">
        <v>10</v>
      </c>
      <c r="I216" s="19"/>
    </row>
    <row r="217" spans="1:9">
      <c r="A217" s="8">
        <v>45736</v>
      </c>
      <c r="B217" s="1">
        <v>613</v>
      </c>
      <c r="C217" s="18" t="s">
        <v>39</v>
      </c>
      <c r="D217" s="1">
        <v>384</v>
      </c>
      <c r="E217" s="1">
        <v>384</v>
      </c>
      <c r="H217" s="15" t="s">
        <v>10</v>
      </c>
      <c r="I217" s="19"/>
    </row>
    <row r="218" spans="1:9">
      <c r="A218" s="8">
        <v>45736</v>
      </c>
      <c r="B218" s="1">
        <v>885</v>
      </c>
      <c r="C218" s="18" t="s">
        <v>48</v>
      </c>
      <c r="D218" s="1">
        <v>388</v>
      </c>
      <c r="E218" s="1">
        <v>388</v>
      </c>
      <c r="H218" s="15" t="s">
        <v>10</v>
      </c>
      <c r="I218" s="19"/>
    </row>
    <row r="219" spans="1:9">
      <c r="A219" s="8">
        <v>45737</v>
      </c>
      <c r="B219" s="1">
        <v>609</v>
      </c>
      <c r="C219" s="18" t="s">
        <v>33</v>
      </c>
      <c r="D219" s="1">
        <v>1100</v>
      </c>
      <c r="E219" s="1">
        <v>1100</v>
      </c>
      <c r="H219" s="15" t="s">
        <v>10</v>
      </c>
      <c r="I219" s="19">
        <f>SUM(E219:E228)</f>
        <v>6962</v>
      </c>
    </row>
    <row r="220" spans="1:9">
      <c r="A220" s="8">
        <v>45737</v>
      </c>
      <c r="B220" s="1">
        <v>817</v>
      </c>
      <c r="C220" s="18" t="s">
        <v>36</v>
      </c>
      <c r="D220" s="1">
        <v>940</v>
      </c>
      <c r="E220" s="1">
        <v>940</v>
      </c>
      <c r="H220" s="15" t="s">
        <v>10</v>
      </c>
      <c r="I220" s="19"/>
    </row>
    <row r="221" spans="1:9">
      <c r="A221" s="8">
        <v>45737</v>
      </c>
      <c r="B221" s="1">
        <v>818</v>
      </c>
      <c r="C221" s="18" t="s">
        <v>37</v>
      </c>
      <c r="D221" s="1">
        <v>70</v>
      </c>
      <c r="E221" s="1">
        <v>70</v>
      </c>
      <c r="H221" s="15" t="s">
        <v>10</v>
      </c>
      <c r="I221" s="19"/>
    </row>
    <row r="222" spans="1:9">
      <c r="A222" s="8">
        <v>45737</v>
      </c>
      <c r="B222" s="1">
        <v>807</v>
      </c>
      <c r="C222" s="18" t="s">
        <v>52</v>
      </c>
      <c r="D222" s="1">
        <v>744</v>
      </c>
      <c r="E222" s="1">
        <v>744</v>
      </c>
      <c r="H222" s="15" t="s">
        <v>10</v>
      </c>
      <c r="I222" s="19"/>
    </row>
    <row r="223" spans="1:9">
      <c r="A223" s="8">
        <v>45737</v>
      </c>
      <c r="B223" s="1">
        <v>613</v>
      </c>
      <c r="C223" s="18" t="s">
        <v>39</v>
      </c>
      <c r="D223" s="1">
        <v>660</v>
      </c>
      <c r="E223" s="1">
        <v>660</v>
      </c>
      <c r="H223" s="15" t="s">
        <v>10</v>
      </c>
      <c r="I223" s="19"/>
    </row>
    <row r="224" spans="1:9">
      <c r="A224" s="8">
        <v>45737</v>
      </c>
      <c r="B224" s="1">
        <v>809</v>
      </c>
      <c r="C224" s="18" t="s">
        <v>38</v>
      </c>
      <c r="D224" s="1">
        <v>640</v>
      </c>
      <c r="E224" s="1">
        <v>640</v>
      </c>
      <c r="H224" s="15" t="s">
        <v>10</v>
      </c>
      <c r="I224" s="19"/>
    </row>
    <row r="225" spans="1:9">
      <c r="A225" s="8">
        <v>45737</v>
      </c>
      <c r="B225" s="1">
        <v>871</v>
      </c>
      <c r="C225" s="18" t="s">
        <v>63</v>
      </c>
      <c r="D225" s="1">
        <v>316</v>
      </c>
      <c r="E225" s="1">
        <v>316</v>
      </c>
      <c r="H225" s="15" t="s">
        <v>10</v>
      </c>
      <c r="I225" s="19"/>
    </row>
    <row r="226" spans="1:9">
      <c r="A226" s="8">
        <v>45737</v>
      </c>
      <c r="B226" s="1">
        <v>896</v>
      </c>
      <c r="C226" s="18" t="s">
        <v>31</v>
      </c>
      <c r="D226" s="1">
        <v>620</v>
      </c>
      <c r="E226" s="1">
        <v>620</v>
      </c>
      <c r="H226" s="15" t="s">
        <v>10</v>
      </c>
      <c r="I226" s="19"/>
    </row>
    <row r="227" spans="1:9">
      <c r="A227" s="8">
        <v>45737</v>
      </c>
      <c r="B227" s="1">
        <v>828</v>
      </c>
      <c r="C227" s="18" t="s">
        <v>51</v>
      </c>
      <c r="D227" s="1">
        <v>624</v>
      </c>
      <c r="E227" s="1">
        <v>624</v>
      </c>
      <c r="H227" s="15" t="s">
        <v>10</v>
      </c>
      <c r="I227" s="19"/>
    </row>
    <row r="228" spans="1:9">
      <c r="A228" s="8">
        <v>45737</v>
      </c>
      <c r="B228" s="1">
        <v>827</v>
      </c>
      <c r="C228" s="18" t="s">
        <v>50</v>
      </c>
      <c r="D228" s="1">
        <v>1248</v>
      </c>
      <c r="E228" s="1">
        <v>1248</v>
      </c>
      <c r="H228" s="15" t="s">
        <v>10</v>
      </c>
      <c r="I228" s="19"/>
    </row>
    <row r="229" spans="1:9">
      <c r="A229" s="8">
        <v>45738</v>
      </c>
      <c r="B229" s="1">
        <v>809</v>
      </c>
      <c r="C229" s="18" t="s">
        <v>38</v>
      </c>
      <c r="D229" s="1">
        <v>675</v>
      </c>
      <c r="E229" s="1">
        <v>675</v>
      </c>
      <c r="H229" s="15" t="s">
        <v>10</v>
      </c>
      <c r="I229" s="19">
        <f>SUM(E229:E238)</f>
        <v>4457</v>
      </c>
    </row>
    <row r="230" spans="1:9">
      <c r="A230" s="8">
        <v>45738</v>
      </c>
      <c r="B230" s="1">
        <v>813</v>
      </c>
      <c r="C230" s="18" t="s">
        <v>49</v>
      </c>
      <c r="D230" s="1">
        <v>384</v>
      </c>
      <c r="E230" s="1">
        <v>384</v>
      </c>
      <c r="H230" s="15" t="s">
        <v>10</v>
      </c>
      <c r="I230" s="19"/>
    </row>
    <row r="231" spans="1:9">
      <c r="A231" s="8">
        <v>45738</v>
      </c>
      <c r="B231" s="1">
        <v>810</v>
      </c>
      <c r="C231" s="18" t="s">
        <v>34</v>
      </c>
      <c r="D231" s="1">
        <v>60</v>
      </c>
      <c r="E231" s="1">
        <v>60</v>
      </c>
      <c r="H231" s="15" t="s">
        <v>10</v>
      </c>
      <c r="I231" s="19"/>
    </row>
    <row r="232" spans="1:9">
      <c r="A232" s="8">
        <v>45738</v>
      </c>
      <c r="B232" s="1">
        <v>9875</v>
      </c>
      <c r="C232" s="18" t="s">
        <v>43</v>
      </c>
      <c r="D232" s="1">
        <v>82</v>
      </c>
      <c r="E232" s="1">
        <v>82</v>
      </c>
      <c r="H232" s="15" t="s">
        <v>10</v>
      </c>
      <c r="I232" s="19"/>
    </row>
    <row r="233" spans="1:9">
      <c r="A233" s="8">
        <v>45738</v>
      </c>
      <c r="B233" s="1">
        <v>817</v>
      </c>
      <c r="C233" s="18" t="s">
        <v>36</v>
      </c>
      <c r="D233" s="1">
        <v>484</v>
      </c>
      <c r="E233" s="1">
        <v>484</v>
      </c>
      <c r="H233" s="15" t="s">
        <v>10</v>
      </c>
      <c r="I233" s="19"/>
    </row>
    <row r="234" spans="1:9">
      <c r="A234" s="8">
        <v>45738</v>
      </c>
      <c r="B234" s="1">
        <v>818</v>
      </c>
      <c r="C234" s="18" t="s">
        <v>37</v>
      </c>
      <c r="D234" s="1">
        <v>715</v>
      </c>
      <c r="E234" s="1">
        <v>715</v>
      </c>
      <c r="H234" s="15" t="s">
        <v>10</v>
      </c>
      <c r="I234" s="19"/>
    </row>
    <row r="235" spans="1:9">
      <c r="A235" s="8">
        <v>45738</v>
      </c>
      <c r="B235" s="1">
        <v>899</v>
      </c>
      <c r="C235" s="18" t="s">
        <v>134</v>
      </c>
      <c r="D235" s="1">
        <v>100</v>
      </c>
      <c r="E235" s="1">
        <v>100</v>
      </c>
      <c r="H235" s="15" t="s">
        <v>10</v>
      </c>
      <c r="I235" s="19"/>
    </row>
    <row r="236" spans="1:9">
      <c r="A236" s="8">
        <v>45738</v>
      </c>
      <c r="B236" s="1">
        <v>609</v>
      </c>
      <c r="C236" s="18" t="s">
        <v>33</v>
      </c>
      <c r="D236" s="1">
        <v>852</v>
      </c>
      <c r="E236" s="1">
        <v>852</v>
      </c>
      <c r="H236" s="15" t="s">
        <v>10</v>
      </c>
      <c r="I236" s="19"/>
    </row>
    <row r="237" spans="1:9">
      <c r="A237" s="8">
        <v>45738</v>
      </c>
      <c r="B237" s="1">
        <v>880</v>
      </c>
      <c r="C237" s="18" t="s">
        <v>32</v>
      </c>
      <c r="D237" s="1">
        <v>490</v>
      </c>
      <c r="E237" s="1">
        <v>490</v>
      </c>
      <c r="H237" s="15" t="s">
        <v>10</v>
      </c>
      <c r="I237" s="19"/>
    </row>
    <row r="238" spans="1:9">
      <c r="A238" s="8">
        <v>45738</v>
      </c>
      <c r="B238" s="1">
        <v>896</v>
      </c>
      <c r="C238" s="18" t="s">
        <v>31</v>
      </c>
      <c r="D238" s="1">
        <v>615</v>
      </c>
      <c r="E238" s="1">
        <v>615</v>
      </c>
      <c r="H238" s="15" t="s">
        <v>10</v>
      </c>
      <c r="I238" s="19"/>
    </row>
    <row r="239" spans="1:9">
      <c r="A239" s="8">
        <v>45739</v>
      </c>
      <c r="B239" s="1">
        <v>813</v>
      </c>
      <c r="C239" s="18" t="s">
        <v>49</v>
      </c>
      <c r="D239" s="1">
        <v>352</v>
      </c>
      <c r="E239" s="1">
        <v>352</v>
      </c>
      <c r="H239" s="15" t="s">
        <v>10</v>
      </c>
      <c r="I239" s="19">
        <f>SUM(E239:E252)</f>
        <v>8538</v>
      </c>
    </row>
    <row r="240" spans="1:9">
      <c r="A240" s="8">
        <v>45739</v>
      </c>
      <c r="B240" s="1">
        <v>818</v>
      </c>
      <c r="C240" s="18" t="s">
        <v>37</v>
      </c>
      <c r="D240" s="1">
        <v>780</v>
      </c>
      <c r="E240" s="1">
        <v>780</v>
      </c>
      <c r="H240" s="15" t="s">
        <v>10</v>
      </c>
      <c r="I240" s="19"/>
    </row>
    <row r="241" spans="1:9">
      <c r="A241" s="8">
        <v>45739</v>
      </c>
      <c r="B241" s="1">
        <v>817</v>
      </c>
      <c r="C241" s="18" t="s">
        <v>36</v>
      </c>
      <c r="D241" s="1">
        <v>615</v>
      </c>
      <c r="E241" s="1">
        <v>615</v>
      </c>
      <c r="H241" s="15" t="s">
        <v>10</v>
      </c>
      <c r="I241" s="19"/>
    </row>
    <row r="242" spans="1:9">
      <c r="A242" s="8">
        <v>45739</v>
      </c>
      <c r="B242" s="1">
        <v>888</v>
      </c>
      <c r="C242" s="18" t="s">
        <v>135</v>
      </c>
      <c r="D242" s="1">
        <v>273</v>
      </c>
      <c r="E242" s="1">
        <v>273</v>
      </c>
      <c r="H242" s="15" t="s">
        <v>10</v>
      </c>
      <c r="I242" s="19"/>
    </row>
    <row r="243" spans="1:9">
      <c r="A243" s="8">
        <v>45739</v>
      </c>
      <c r="B243" s="1">
        <v>613</v>
      </c>
      <c r="C243" s="18" t="s">
        <v>39</v>
      </c>
      <c r="D243" s="1">
        <v>664</v>
      </c>
      <c r="E243" s="1">
        <v>664</v>
      </c>
      <c r="H243" s="15" t="s">
        <v>10</v>
      </c>
      <c r="I243" s="19"/>
    </row>
    <row r="244" spans="1:9">
      <c r="A244" s="8">
        <v>45739</v>
      </c>
      <c r="B244" s="1">
        <v>809</v>
      </c>
      <c r="C244" s="18" t="s">
        <v>38</v>
      </c>
      <c r="D244" s="1">
        <v>648</v>
      </c>
      <c r="E244" s="1">
        <v>648</v>
      </c>
      <c r="H244" s="15" t="s">
        <v>10</v>
      </c>
      <c r="I244" s="19"/>
    </row>
    <row r="245" spans="1:9">
      <c r="A245" s="8">
        <v>45739</v>
      </c>
      <c r="B245" s="1">
        <v>885</v>
      </c>
      <c r="C245" s="18" t="s">
        <v>48</v>
      </c>
      <c r="D245" s="1">
        <v>352</v>
      </c>
      <c r="E245" s="1">
        <v>352</v>
      </c>
      <c r="H245" s="15" t="s">
        <v>10</v>
      </c>
      <c r="I245" s="19"/>
    </row>
    <row r="246" spans="1:9">
      <c r="A246" s="8">
        <v>45739</v>
      </c>
      <c r="B246" s="1">
        <v>871</v>
      </c>
      <c r="C246" s="18" t="s">
        <v>63</v>
      </c>
      <c r="D246" s="1">
        <v>888</v>
      </c>
      <c r="E246" s="1">
        <v>888</v>
      </c>
      <c r="H246" s="15" t="s">
        <v>10</v>
      </c>
      <c r="I246" s="19"/>
    </row>
    <row r="247" spans="1:9">
      <c r="A247" s="8">
        <v>45739</v>
      </c>
      <c r="B247" s="1">
        <v>875</v>
      </c>
      <c r="C247" s="18" t="s">
        <v>42</v>
      </c>
      <c r="D247" s="1">
        <v>592</v>
      </c>
      <c r="E247" s="1">
        <v>592</v>
      </c>
      <c r="H247" s="15" t="s">
        <v>10</v>
      </c>
      <c r="I247" s="19"/>
    </row>
    <row r="248" spans="1:9">
      <c r="A248" s="8">
        <v>45739</v>
      </c>
      <c r="B248" s="1">
        <v>609</v>
      </c>
      <c r="C248" s="18" t="s">
        <v>33</v>
      </c>
      <c r="D248" s="1">
        <v>876</v>
      </c>
      <c r="E248" s="1">
        <v>876</v>
      </c>
      <c r="H248" s="15" t="s">
        <v>10</v>
      </c>
      <c r="I248" s="19"/>
    </row>
    <row r="249" spans="1:9">
      <c r="A249" s="8">
        <v>45739</v>
      </c>
      <c r="B249" s="1">
        <v>880</v>
      </c>
      <c r="C249" s="18" t="s">
        <v>32</v>
      </c>
      <c r="D249" s="1">
        <v>786</v>
      </c>
      <c r="E249" s="1">
        <v>786</v>
      </c>
      <c r="H249" s="15" t="s">
        <v>10</v>
      </c>
      <c r="I249" s="19"/>
    </row>
    <row r="250" spans="1:9">
      <c r="A250" s="8">
        <v>45739</v>
      </c>
      <c r="B250" s="1">
        <v>809</v>
      </c>
      <c r="C250" s="18" t="s">
        <v>38</v>
      </c>
      <c r="D250" s="1">
        <v>652</v>
      </c>
      <c r="E250" s="1">
        <v>652</v>
      </c>
      <c r="H250" s="15" t="s">
        <v>10</v>
      </c>
      <c r="I250" s="19"/>
    </row>
    <row r="251" spans="1:9">
      <c r="A251" s="8">
        <v>45739</v>
      </c>
      <c r="B251" s="1">
        <v>613</v>
      </c>
      <c r="C251" s="18" t="s">
        <v>39</v>
      </c>
      <c r="D251" s="1">
        <v>656</v>
      </c>
      <c r="E251" s="1">
        <v>656</v>
      </c>
      <c r="H251" s="15" t="s">
        <v>10</v>
      </c>
      <c r="I251" s="19"/>
    </row>
    <row r="252" spans="1:9">
      <c r="A252" s="8">
        <v>45739</v>
      </c>
      <c r="B252" s="1">
        <v>885</v>
      </c>
      <c r="C252" s="18" t="s">
        <v>48</v>
      </c>
      <c r="D252" s="1">
        <v>404</v>
      </c>
      <c r="E252" s="1">
        <v>404</v>
      </c>
      <c r="H252" s="15" t="s">
        <v>10</v>
      </c>
      <c r="I252" s="19"/>
    </row>
    <row r="253" spans="1:9">
      <c r="A253" s="8">
        <v>45740</v>
      </c>
      <c r="B253" s="1">
        <v>828</v>
      </c>
      <c r="C253" s="18" t="s">
        <v>51</v>
      </c>
      <c r="D253" s="1">
        <v>572</v>
      </c>
      <c r="E253" s="1">
        <v>572</v>
      </c>
      <c r="H253" s="15" t="s">
        <v>10</v>
      </c>
      <c r="I253" s="19">
        <f>SUM(E253:E264)</f>
        <v>6626</v>
      </c>
    </row>
    <row r="254" spans="1:9">
      <c r="A254" s="8">
        <v>45740</v>
      </c>
      <c r="B254" s="1">
        <v>813</v>
      </c>
      <c r="C254" s="18" t="s">
        <v>49</v>
      </c>
      <c r="D254" s="1">
        <v>316</v>
      </c>
      <c r="E254" s="1">
        <v>316</v>
      </c>
      <c r="H254" s="15" t="s">
        <v>10</v>
      </c>
      <c r="I254" s="19"/>
    </row>
    <row r="255" spans="1:9">
      <c r="A255" s="8">
        <v>45740</v>
      </c>
      <c r="B255" s="1">
        <v>810</v>
      </c>
      <c r="C255" s="18" t="s">
        <v>34</v>
      </c>
      <c r="D255" s="1">
        <v>60</v>
      </c>
      <c r="E255" s="1">
        <v>60</v>
      </c>
      <c r="H255" s="15" t="s">
        <v>10</v>
      </c>
      <c r="I255" s="19"/>
    </row>
    <row r="256" spans="1:9">
      <c r="A256" s="8">
        <v>45740</v>
      </c>
      <c r="B256" s="1">
        <v>880</v>
      </c>
      <c r="C256" s="18" t="s">
        <v>32</v>
      </c>
      <c r="D256" s="1">
        <v>776</v>
      </c>
      <c r="E256" s="1">
        <v>776</v>
      </c>
      <c r="H256" s="15" t="s">
        <v>10</v>
      </c>
      <c r="I256" s="19"/>
    </row>
    <row r="257" spans="1:9">
      <c r="A257" s="8">
        <v>45740</v>
      </c>
      <c r="B257" s="1">
        <v>817</v>
      </c>
      <c r="C257" s="18" t="s">
        <v>36</v>
      </c>
      <c r="D257" s="1">
        <v>664</v>
      </c>
      <c r="E257" s="1">
        <v>664</v>
      </c>
      <c r="H257" s="15" t="s">
        <v>10</v>
      </c>
      <c r="I257" s="19"/>
    </row>
    <row r="258" spans="1:9">
      <c r="A258" s="8">
        <v>45740</v>
      </c>
      <c r="B258" s="1">
        <v>818</v>
      </c>
      <c r="C258" s="18" t="s">
        <v>37</v>
      </c>
      <c r="D258" s="1">
        <v>560</v>
      </c>
      <c r="E258" s="1">
        <v>560</v>
      </c>
      <c r="H258" s="15" t="s">
        <v>10</v>
      </c>
      <c r="I258" s="19"/>
    </row>
    <row r="259" spans="1:9">
      <c r="A259" s="8">
        <v>45740</v>
      </c>
      <c r="B259" s="1">
        <v>832</v>
      </c>
      <c r="C259" s="18" t="s">
        <v>140</v>
      </c>
      <c r="D259" s="1">
        <v>180</v>
      </c>
      <c r="E259" s="1">
        <v>180</v>
      </c>
      <c r="H259" s="15" t="s">
        <v>10</v>
      </c>
      <c r="I259" s="19"/>
    </row>
    <row r="260" spans="1:9">
      <c r="A260" s="8">
        <v>45740</v>
      </c>
      <c r="B260" s="1">
        <v>813</v>
      </c>
      <c r="C260" s="18" t="s">
        <v>49</v>
      </c>
      <c r="D260" s="1">
        <v>552</v>
      </c>
      <c r="E260" s="1">
        <v>552</v>
      </c>
      <c r="H260" s="15" t="s">
        <v>10</v>
      </c>
      <c r="I260" s="19"/>
    </row>
    <row r="261" spans="1:9">
      <c r="A261" s="8">
        <v>45740</v>
      </c>
      <c r="B261" s="1">
        <v>609</v>
      </c>
      <c r="C261" s="18" t="s">
        <v>33</v>
      </c>
      <c r="D261" s="1">
        <v>1002</v>
      </c>
      <c r="E261" s="1">
        <v>1002</v>
      </c>
      <c r="H261" s="15" t="s">
        <v>10</v>
      </c>
      <c r="I261" s="19"/>
    </row>
    <row r="262" spans="1:9">
      <c r="A262" s="8">
        <v>45740</v>
      </c>
      <c r="B262" s="1">
        <v>613</v>
      </c>
      <c r="C262" s="18" t="s">
        <v>39</v>
      </c>
      <c r="D262" s="1">
        <v>528</v>
      </c>
      <c r="E262" s="1">
        <v>528</v>
      </c>
      <c r="H262" s="15" t="s">
        <v>10</v>
      </c>
      <c r="I262" s="19"/>
    </row>
    <row r="263" spans="1:9">
      <c r="A263" s="8">
        <v>45740</v>
      </c>
      <c r="B263" s="1">
        <v>809</v>
      </c>
      <c r="C263" s="18" t="s">
        <v>38</v>
      </c>
      <c r="D263" s="1">
        <v>824</v>
      </c>
      <c r="E263" s="1">
        <v>824</v>
      </c>
      <c r="H263" s="15" t="s">
        <v>10</v>
      </c>
      <c r="I263" s="19"/>
    </row>
    <row r="264" spans="1:9">
      <c r="A264" s="8">
        <v>45740</v>
      </c>
      <c r="B264" s="1">
        <v>885</v>
      </c>
      <c r="C264" s="18" t="s">
        <v>48</v>
      </c>
      <c r="D264" s="1">
        <v>592</v>
      </c>
      <c r="E264" s="1">
        <v>592</v>
      </c>
      <c r="H264" s="15" t="s">
        <v>10</v>
      </c>
      <c r="I264" s="19"/>
    </row>
    <row r="265" spans="1:9">
      <c r="A265" s="8">
        <v>45741</v>
      </c>
      <c r="B265" s="1">
        <v>807</v>
      </c>
      <c r="C265" s="18" t="s">
        <v>52</v>
      </c>
      <c r="D265" s="1">
        <v>624</v>
      </c>
      <c r="E265" s="1">
        <v>624</v>
      </c>
      <c r="H265" s="15" t="s">
        <v>10</v>
      </c>
      <c r="I265" s="19">
        <f>SUM(E265:E276)</f>
        <v>7947</v>
      </c>
    </row>
    <row r="266" spans="1:9">
      <c r="A266" s="8">
        <v>45741</v>
      </c>
      <c r="B266" s="1">
        <v>875</v>
      </c>
      <c r="C266" s="18" t="s">
        <v>42</v>
      </c>
      <c r="D266" s="1">
        <v>556</v>
      </c>
      <c r="E266" s="1">
        <v>556</v>
      </c>
      <c r="H266" s="15" t="s">
        <v>10</v>
      </c>
      <c r="I266" s="19"/>
    </row>
    <row r="267" spans="1:9">
      <c r="A267" s="8">
        <v>45741</v>
      </c>
      <c r="B267" s="1">
        <v>9875</v>
      </c>
      <c r="C267" s="18" t="s">
        <v>43</v>
      </c>
      <c r="D267" s="1">
        <v>362</v>
      </c>
      <c r="E267" s="1">
        <v>362</v>
      </c>
      <c r="H267" s="15" t="s">
        <v>10</v>
      </c>
      <c r="I267" s="19"/>
    </row>
    <row r="268" spans="1:9">
      <c r="A268" s="8">
        <v>45741</v>
      </c>
      <c r="B268" s="1">
        <v>9876</v>
      </c>
      <c r="C268" s="18" t="s">
        <v>149</v>
      </c>
      <c r="D268" s="1">
        <v>98</v>
      </c>
      <c r="E268" s="1">
        <v>98</v>
      </c>
      <c r="H268" s="15" t="s">
        <v>10</v>
      </c>
      <c r="I268" s="19"/>
    </row>
    <row r="269" spans="1:9">
      <c r="A269" s="8">
        <v>45741</v>
      </c>
      <c r="B269" s="1">
        <v>9810</v>
      </c>
      <c r="C269" s="18" t="s">
        <v>35</v>
      </c>
      <c r="D269" s="1">
        <v>30</v>
      </c>
      <c r="E269" s="1">
        <v>30</v>
      </c>
      <c r="H269" s="15" t="s">
        <v>10</v>
      </c>
      <c r="I269" s="19"/>
    </row>
    <row r="270" spans="1:9">
      <c r="A270" s="8">
        <v>45741</v>
      </c>
      <c r="B270" s="1">
        <v>818</v>
      </c>
      <c r="C270" s="18" t="s">
        <v>37</v>
      </c>
      <c r="D270" s="1">
        <v>888</v>
      </c>
      <c r="E270" s="1">
        <v>888</v>
      </c>
      <c r="H270" s="15" t="s">
        <v>10</v>
      </c>
      <c r="I270" s="19"/>
    </row>
    <row r="271" spans="1:9">
      <c r="A271" s="8">
        <v>45741</v>
      </c>
      <c r="B271" s="1">
        <v>817</v>
      </c>
      <c r="C271" s="18" t="s">
        <v>36</v>
      </c>
      <c r="D271" s="1">
        <v>846</v>
      </c>
      <c r="E271" s="1">
        <v>846</v>
      </c>
      <c r="H271" s="15" t="s">
        <v>10</v>
      </c>
      <c r="I271" s="19"/>
    </row>
    <row r="272" spans="1:9">
      <c r="A272" s="8">
        <v>45741</v>
      </c>
      <c r="B272" s="1">
        <v>832</v>
      </c>
      <c r="C272" s="18" t="s">
        <v>140</v>
      </c>
      <c r="D272" s="1">
        <v>650</v>
      </c>
      <c r="E272" s="1">
        <v>650</v>
      </c>
      <c r="H272" s="15" t="s">
        <v>10</v>
      </c>
      <c r="I272" s="19"/>
    </row>
    <row r="273" spans="1:9">
      <c r="A273" s="8">
        <v>45741</v>
      </c>
      <c r="B273" s="1">
        <v>828</v>
      </c>
      <c r="C273" s="18" t="s">
        <v>51</v>
      </c>
      <c r="D273" s="1">
        <v>1035</v>
      </c>
      <c r="E273" s="1">
        <v>1035</v>
      </c>
      <c r="H273" s="15" t="s">
        <v>10</v>
      </c>
      <c r="I273" s="19"/>
    </row>
    <row r="274" spans="1:9">
      <c r="A274" s="8">
        <v>45741</v>
      </c>
      <c r="B274" s="1">
        <v>827</v>
      </c>
      <c r="C274" s="18" t="s">
        <v>50</v>
      </c>
      <c r="D274" s="1">
        <v>644</v>
      </c>
      <c r="E274" s="1">
        <v>644</v>
      </c>
      <c r="H274" s="15" t="s">
        <v>10</v>
      </c>
      <c r="I274" s="19"/>
    </row>
    <row r="275" spans="1:9">
      <c r="A275" s="8">
        <v>45741</v>
      </c>
      <c r="B275" s="1">
        <v>609</v>
      </c>
      <c r="C275" s="18" t="s">
        <v>33</v>
      </c>
      <c r="D275" s="1">
        <v>1314</v>
      </c>
      <c r="E275" s="1">
        <v>1314</v>
      </c>
      <c r="H275" s="15" t="s">
        <v>10</v>
      </c>
      <c r="I275" s="19"/>
    </row>
    <row r="276" spans="1:9">
      <c r="A276" s="8">
        <v>45741</v>
      </c>
      <c r="B276" s="1">
        <v>880</v>
      </c>
      <c r="C276" s="18" t="s">
        <v>32</v>
      </c>
      <c r="D276" s="1">
        <v>900</v>
      </c>
      <c r="E276" s="1">
        <v>900</v>
      </c>
      <c r="H276" s="15" t="s">
        <v>10</v>
      </c>
      <c r="I276" s="19"/>
    </row>
    <row r="277" spans="1:9">
      <c r="A277" s="8">
        <v>45742</v>
      </c>
      <c r="B277" s="1">
        <v>871</v>
      </c>
      <c r="C277" s="18" t="s">
        <v>63</v>
      </c>
      <c r="D277" s="1">
        <v>404</v>
      </c>
      <c r="E277" s="1">
        <v>404</v>
      </c>
      <c r="H277" s="15" t="s">
        <v>10</v>
      </c>
      <c r="I277" s="19">
        <f>SUM(E277:E288)</f>
        <v>9885</v>
      </c>
    </row>
    <row r="278" spans="1:9">
      <c r="A278" s="8">
        <v>45742</v>
      </c>
      <c r="B278" s="1">
        <v>809</v>
      </c>
      <c r="C278" s="18" t="s">
        <v>38</v>
      </c>
      <c r="D278" s="1">
        <v>1408</v>
      </c>
      <c r="E278" s="1">
        <v>1408</v>
      </c>
      <c r="H278" s="15" t="s">
        <v>10</v>
      </c>
      <c r="I278" s="19"/>
    </row>
    <row r="279" spans="1:9">
      <c r="A279" s="8">
        <v>45742</v>
      </c>
      <c r="B279" s="1">
        <v>9875</v>
      </c>
      <c r="C279" s="18" t="s">
        <v>43</v>
      </c>
      <c r="D279" s="1">
        <v>198</v>
      </c>
      <c r="E279" s="1">
        <v>198</v>
      </c>
      <c r="H279" s="15" t="s">
        <v>10</v>
      </c>
      <c r="I279" s="19"/>
    </row>
    <row r="280" spans="1:9">
      <c r="A280" s="8">
        <v>45742</v>
      </c>
      <c r="B280" s="1">
        <v>807</v>
      </c>
      <c r="C280" s="18" t="s">
        <v>52</v>
      </c>
      <c r="D280" s="1">
        <v>975</v>
      </c>
      <c r="E280" s="1">
        <v>975</v>
      </c>
      <c r="H280" s="15" t="s">
        <v>10</v>
      </c>
      <c r="I280" s="19"/>
    </row>
    <row r="281" spans="1:9">
      <c r="A281" s="8">
        <v>45742</v>
      </c>
      <c r="B281" s="1">
        <v>875</v>
      </c>
      <c r="C281" s="18" t="s">
        <v>42</v>
      </c>
      <c r="D281" s="1">
        <v>675</v>
      </c>
      <c r="E281" s="1">
        <v>675</v>
      </c>
      <c r="H281" s="15" t="s">
        <v>10</v>
      </c>
      <c r="I281" s="19"/>
    </row>
    <row r="282" spans="1:9">
      <c r="A282" s="8">
        <v>45742</v>
      </c>
      <c r="B282" s="1">
        <v>817</v>
      </c>
      <c r="C282" s="18" t="s">
        <v>36</v>
      </c>
      <c r="D282" s="1">
        <v>1328</v>
      </c>
      <c r="E282" s="1">
        <v>1328</v>
      </c>
      <c r="H282" s="15" t="s">
        <v>10</v>
      </c>
      <c r="I282" s="19"/>
    </row>
    <row r="283" spans="1:9">
      <c r="A283" s="8">
        <v>45742</v>
      </c>
      <c r="B283" s="1">
        <v>818</v>
      </c>
      <c r="C283" s="18" t="s">
        <v>37</v>
      </c>
      <c r="D283" s="1">
        <v>822</v>
      </c>
      <c r="E283" s="1">
        <v>822</v>
      </c>
      <c r="H283" s="15" t="s">
        <v>10</v>
      </c>
      <c r="I283" s="19"/>
    </row>
    <row r="284" spans="1:9">
      <c r="A284" s="8">
        <v>45742</v>
      </c>
      <c r="B284" s="1">
        <v>810</v>
      </c>
      <c r="C284" s="18" t="s">
        <v>34</v>
      </c>
      <c r="D284" s="1">
        <v>102</v>
      </c>
      <c r="E284" s="1">
        <v>102</v>
      </c>
      <c r="H284" s="15" t="s">
        <v>10</v>
      </c>
      <c r="I284" s="19"/>
    </row>
    <row r="285" spans="1:9">
      <c r="A285" s="8">
        <v>45742</v>
      </c>
      <c r="B285" s="1">
        <v>885</v>
      </c>
      <c r="C285" s="18" t="s">
        <v>48</v>
      </c>
      <c r="D285" s="1">
        <v>965</v>
      </c>
      <c r="E285" s="1">
        <v>965</v>
      </c>
      <c r="H285" s="15" t="s">
        <v>10</v>
      </c>
      <c r="I285" s="19"/>
    </row>
    <row r="286" spans="1:9">
      <c r="A286" s="8">
        <v>45742</v>
      </c>
      <c r="B286" s="1">
        <v>613</v>
      </c>
      <c r="C286" s="18" t="s">
        <v>39</v>
      </c>
      <c r="D286" s="1">
        <v>710</v>
      </c>
      <c r="E286" s="1">
        <v>710</v>
      </c>
      <c r="H286" s="15" t="s">
        <v>10</v>
      </c>
      <c r="I286" s="19"/>
    </row>
    <row r="287" spans="1:9">
      <c r="A287" s="8">
        <v>45742</v>
      </c>
      <c r="B287" s="1">
        <v>609</v>
      </c>
      <c r="C287" s="18" t="s">
        <v>33</v>
      </c>
      <c r="D287" s="1">
        <v>1950</v>
      </c>
      <c r="E287" s="1">
        <v>1950</v>
      </c>
      <c r="H287" s="15" t="s">
        <v>10</v>
      </c>
      <c r="I287" s="19"/>
    </row>
    <row r="288" spans="1:9">
      <c r="A288" s="8">
        <v>45742</v>
      </c>
      <c r="B288" s="1">
        <v>875</v>
      </c>
      <c r="C288" s="18" t="s">
        <v>42</v>
      </c>
      <c r="D288" s="1">
        <v>348</v>
      </c>
      <c r="E288" s="1">
        <v>348</v>
      </c>
      <c r="H288" s="15" t="s">
        <v>10</v>
      </c>
      <c r="I288" s="19"/>
    </row>
    <row r="289" spans="1:9">
      <c r="A289" s="8">
        <v>45743</v>
      </c>
      <c r="B289" s="1">
        <v>896</v>
      </c>
      <c r="C289" s="18" t="s">
        <v>31</v>
      </c>
      <c r="D289" s="1">
        <v>1470</v>
      </c>
      <c r="E289" s="1">
        <v>1470</v>
      </c>
      <c r="H289" s="15" t="s">
        <v>10</v>
      </c>
      <c r="I289" s="19">
        <f>SUM(E289:E299)</f>
        <v>9332</v>
      </c>
    </row>
    <row r="290" spans="1:9">
      <c r="A290" s="8">
        <v>45743</v>
      </c>
      <c r="B290" s="1">
        <v>827</v>
      </c>
      <c r="C290" s="18" t="s">
        <v>50</v>
      </c>
      <c r="D290" s="1">
        <v>1312</v>
      </c>
      <c r="E290" s="1">
        <v>1312</v>
      </c>
      <c r="H290" s="15" t="s">
        <v>10</v>
      </c>
      <c r="I290" s="19"/>
    </row>
    <row r="291" spans="1:9">
      <c r="A291" s="8">
        <v>45743</v>
      </c>
      <c r="B291" s="1">
        <v>875</v>
      </c>
      <c r="C291" s="18" t="s">
        <v>42</v>
      </c>
      <c r="D291" s="1">
        <v>669</v>
      </c>
      <c r="E291" s="1">
        <v>669</v>
      </c>
      <c r="H291" s="15" t="s">
        <v>10</v>
      </c>
      <c r="I291" s="19"/>
    </row>
    <row r="292" spans="1:9">
      <c r="A292" s="8">
        <v>45743</v>
      </c>
      <c r="B292" s="1">
        <v>807</v>
      </c>
      <c r="C292" s="18" t="s">
        <v>52</v>
      </c>
      <c r="D292" s="1">
        <v>520</v>
      </c>
      <c r="E292" s="1">
        <v>520</v>
      </c>
      <c r="H292" s="15" t="s">
        <v>10</v>
      </c>
      <c r="I292" s="19"/>
    </row>
    <row r="293" spans="1:9">
      <c r="A293" s="8">
        <v>45743</v>
      </c>
      <c r="B293" s="1">
        <v>876</v>
      </c>
      <c r="C293" s="18" t="s">
        <v>150</v>
      </c>
      <c r="D293" s="1">
        <v>55</v>
      </c>
      <c r="E293" s="1">
        <v>55</v>
      </c>
      <c r="H293" s="15" t="s">
        <v>10</v>
      </c>
      <c r="I293" s="19"/>
    </row>
    <row r="294" spans="1:9">
      <c r="A294" s="8">
        <v>45743</v>
      </c>
      <c r="B294" s="1">
        <v>817</v>
      </c>
      <c r="C294" s="18" t="s">
        <v>36</v>
      </c>
      <c r="D294" s="1">
        <v>720</v>
      </c>
      <c r="E294" s="1">
        <v>720</v>
      </c>
      <c r="H294" s="15" t="s">
        <v>10</v>
      </c>
      <c r="I294" s="19"/>
    </row>
    <row r="295" spans="1:9">
      <c r="A295" s="8">
        <v>45743</v>
      </c>
      <c r="B295" s="1">
        <v>818</v>
      </c>
      <c r="C295" s="18" t="s">
        <v>37</v>
      </c>
      <c r="D295" s="1">
        <v>864</v>
      </c>
      <c r="E295" s="1">
        <v>864</v>
      </c>
      <c r="H295" s="15" t="s">
        <v>10</v>
      </c>
      <c r="I295" s="19"/>
    </row>
    <row r="296" spans="1:9">
      <c r="A296" s="8">
        <v>45743</v>
      </c>
      <c r="B296" s="1">
        <v>809</v>
      </c>
      <c r="C296" s="18" t="s">
        <v>38</v>
      </c>
      <c r="D296" s="1">
        <v>1260</v>
      </c>
      <c r="E296" s="1">
        <v>1260</v>
      </c>
      <c r="H296" s="15" t="s">
        <v>10</v>
      </c>
      <c r="I296" s="19"/>
    </row>
    <row r="297" spans="1:9">
      <c r="A297" s="8">
        <v>45743</v>
      </c>
      <c r="B297" s="1">
        <v>832</v>
      </c>
      <c r="C297" s="18" t="s">
        <v>140</v>
      </c>
      <c r="D297" s="1">
        <v>420</v>
      </c>
      <c r="E297" s="1">
        <v>420</v>
      </c>
      <c r="H297" s="15" t="s">
        <v>10</v>
      </c>
      <c r="I297" s="19"/>
    </row>
    <row r="298" spans="1:9">
      <c r="A298" s="8">
        <v>45743</v>
      </c>
      <c r="B298" s="1">
        <v>609</v>
      </c>
      <c r="C298" s="18" t="s">
        <v>33</v>
      </c>
      <c r="D298" s="1">
        <v>1200</v>
      </c>
      <c r="E298" s="1">
        <v>1200</v>
      </c>
      <c r="H298" s="15" t="s">
        <v>10</v>
      </c>
      <c r="I298" s="19"/>
    </row>
    <row r="299" spans="1:9">
      <c r="A299" s="8">
        <v>45743</v>
      </c>
      <c r="B299" s="1">
        <v>880</v>
      </c>
      <c r="C299" s="18" t="s">
        <v>32</v>
      </c>
      <c r="D299" s="1">
        <v>842</v>
      </c>
      <c r="E299" s="1">
        <v>842</v>
      </c>
      <c r="H299" s="15" t="s">
        <v>10</v>
      </c>
      <c r="I299" s="19"/>
    </row>
    <row r="300" spans="1:9">
      <c r="A300" s="8">
        <v>45744</v>
      </c>
      <c r="B300" s="1">
        <v>809</v>
      </c>
      <c r="C300" s="18" t="s">
        <v>38</v>
      </c>
      <c r="D300" s="1">
        <v>1174</v>
      </c>
      <c r="E300" s="1">
        <v>1174</v>
      </c>
      <c r="H300" s="15" t="s">
        <v>10</v>
      </c>
      <c r="I300" s="19">
        <f>SUM(E300:E311)</f>
        <v>8149</v>
      </c>
    </row>
    <row r="301" spans="1:9">
      <c r="A301" s="8">
        <v>45744</v>
      </c>
      <c r="B301" s="1">
        <v>871</v>
      </c>
      <c r="C301" s="18" t="s">
        <v>63</v>
      </c>
      <c r="D301" s="1">
        <v>468</v>
      </c>
      <c r="E301" s="1">
        <v>468</v>
      </c>
      <c r="H301" s="15" t="s">
        <v>10</v>
      </c>
      <c r="I301" s="19"/>
    </row>
    <row r="302" spans="1:9">
      <c r="A302" s="8">
        <v>45744</v>
      </c>
      <c r="B302" s="1">
        <v>9875</v>
      </c>
      <c r="C302" s="18" t="s">
        <v>43</v>
      </c>
      <c r="D302" s="1">
        <v>264</v>
      </c>
      <c r="E302" s="1">
        <v>264</v>
      </c>
      <c r="H302" s="15" t="s">
        <v>10</v>
      </c>
      <c r="I302" s="19"/>
    </row>
    <row r="303" spans="1:9">
      <c r="A303" s="8">
        <v>45744</v>
      </c>
      <c r="B303" s="1">
        <v>810</v>
      </c>
      <c r="C303" s="18" t="s">
        <v>34</v>
      </c>
      <c r="D303" s="1">
        <v>644</v>
      </c>
      <c r="E303" s="1">
        <v>644</v>
      </c>
      <c r="H303" s="15" t="s">
        <v>10</v>
      </c>
      <c r="I303" s="19"/>
    </row>
    <row r="304" spans="1:9">
      <c r="A304" s="8">
        <v>45744</v>
      </c>
      <c r="B304" s="1">
        <v>818</v>
      </c>
      <c r="C304" s="18" t="s">
        <v>37</v>
      </c>
      <c r="D304" s="1">
        <v>1225</v>
      </c>
      <c r="E304" s="1">
        <v>1225</v>
      </c>
      <c r="H304" s="15" t="s">
        <v>10</v>
      </c>
      <c r="I304" s="19"/>
    </row>
    <row r="305" spans="1:9">
      <c r="A305" s="8">
        <v>45744</v>
      </c>
      <c r="B305" s="1">
        <v>817</v>
      </c>
      <c r="C305" s="18" t="s">
        <v>36</v>
      </c>
      <c r="D305" s="1">
        <v>894</v>
      </c>
      <c r="E305" s="1">
        <v>894</v>
      </c>
      <c r="H305" s="15" t="s">
        <v>10</v>
      </c>
      <c r="I305" s="19"/>
    </row>
    <row r="306" spans="1:9">
      <c r="A306" s="8">
        <v>45744</v>
      </c>
      <c r="B306" s="1">
        <v>827</v>
      </c>
      <c r="C306" s="18" t="s">
        <v>50</v>
      </c>
      <c r="D306" s="1">
        <v>240</v>
      </c>
      <c r="E306" s="1">
        <v>240</v>
      </c>
      <c r="H306" s="15" t="s">
        <v>10</v>
      </c>
      <c r="I306" s="19"/>
    </row>
    <row r="307" spans="1:9">
      <c r="A307" s="8">
        <v>45744</v>
      </c>
      <c r="B307" s="1">
        <v>885</v>
      </c>
      <c r="C307" s="18" t="s">
        <v>48</v>
      </c>
      <c r="D307" s="1">
        <v>715</v>
      </c>
      <c r="E307" s="1">
        <v>715</v>
      </c>
      <c r="H307" s="15" t="s">
        <v>10</v>
      </c>
      <c r="I307" s="19"/>
    </row>
    <row r="308" spans="1:9">
      <c r="A308" s="8">
        <v>45744</v>
      </c>
      <c r="B308" s="1">
        <v>613</v>
      </c>
      <c r="C308" s="18" t="s">
        <v>39</v>
      </c>
      <c r="D308" s="1">
        <v>650</v>
      </c>
      <c r="E308" s="1">
        <v>650</v>
      </c>
      <c r="H308" s="15" t="s">
        <v>10</v>
      </c>
      <c r="I308" s="19"/>
    </row>
    <row r="309" spans="1:9">
      <c r="A309" s="8">
        <v>45744</v>
      </c>
      <c r="B309" s="1">
        <v>609</v>
      </c>
      <c r="C309" s="18" t="s">
        <v>33</v>
      </c>
      <c r="D309" s="1">
        <v>1560</v>
      </c>
      <c r="E309" s="1">
        <v>1560</v>
      </c>
      <c r="H309" s="15" t="s">
        <v>10</v>
      </c>
      <c r="I309" s="19"/>
    </row>
    <row r="310" spans="1:9">
      <c r="A310" s="8">
        <v>45744</v>
      </c>
      <c r="B310" s="1">
        <v>831</v>
      </c>
      <c r="C310" s="18" t="s">
        <v>151</v>
      </c>
      <c r="D310" s="1">
        <v>141</v>
      </c>
      <c r="E310" s="1">
        <v>141</v>
      </c>
      <c r="H310" s="15" t="s">
        <v>10</v>
      </c>
      <c r="I310" s="19"/>
    </row>
    <row r="311" spans="1:9">
      <c r="A311" s="8">
        <v>45744</v>
      </c>
      <c r="B311" s="1">
        <v>888</v>
      </c>
      <c r="C311" s="18" t="s">
        <v>135</v>
      </c>
      <c r="D311" s="1">
        <v>174</v>
      </c>
      <c r="E311" s="1">
        <v>174</v>
      </c>
      <c r="H311" s="15" t="s">
        <v>10</v>
      </c>
      <c r="I311" s="19"/>
    </row>
    <row r="312" spans="1:9">
      <c r="A312" s="8">
        <v>45745</v>
      </c>
      <c r="B312" s="1">
        <v>807</v>
      </c>
      <c r="C312" s="18" t="s">
        <v>52</v>
      </c>
      <c r="D312" s="1">
        <v>790</v>
      </c>
      <c r="E312" s="1">
        <v>790</v>
      </c>
      <c r="H312" s="15" t="s">
        <v>10</v>
      </c>
      <c r="I312" s="19">
        <f>SUM(E312:E320)</f>
        <v>8328</v>
      </c>
    </row>
    <row r="313" spans="1:9">
      <c r="A313" s="8">
        <v>45745</v>
      </c>
      <c r="B313" s="1">
        <v>875</v>
      </c>
      <c r="C313" s="18" t="s">
        <v>42</v>
      </c>
      <c r="D313" s="1">
        <v>410</v>
      </c>
      <c r="E313" s="1">
        <v>410</v>
      </c>
      <c r="H313" s="15" t="s">
        <v>10</v>
      </c>
      <c r="I313" s="19"/>
    </row>
    <row r="314" spans="1:9">
      <c r="A314" s="8">
        <v>45745</v>
      </c>
      <c r="B314" s="1">
        <v>876</v>
      </c>
      <c r="C314" s="18" t="s">
        <v>150</v>
      </c>
      <c r="D314" s="1">
        <v>70</v>
      </c>
      <c r="E314" s="1">
        <v>70</v>
      </c>
      <c r="H314" s="15" t="s">
        <v>10</v>
      </c>
      <c r="I314" s="19"/>
    </row>
    <row r="315" spans="1:9">
      <c r="A315" s="8">
        <v>45745</v>
      </c>
      <c r="B315" s="1">
        <v>828</v>
      </c>
      <c r="C315" s="18" t="s">
        <v>51</v>
      </c>
      <c r="D315" s="1">
        <v>2030</v>
      </c>
      <c r="E315" s="1">
        <v>2030</v>
      </c>
      <c r="H315" s="15" t="s">
        <v>10</v>
      </c>
      <c r="I315" s="19"/>
    </row>
    <row r="316" spans="1:9">
      <c r="A316" s="8">
        <v>45745</v>
      </c>
      <c r="B316" s="1">
        <v>896</v>
      </c>
      <c r="C316" s="18" t="s">
        <v>31</v>
      </c>
      <c r="D316" s="1">
        <v>1104</v>
      </c>
      <c r="E316" s="1">
        <v>1104</v>
      </c>
      <c r="H316" s="15" t="s">
        <v>10</v>
      </c>
      <c r="I316" s="19"/>
    </row>
    <row r="317" spans="1:9">
      <c r="A317" s="8">
        <v>45745</v>
      </c>
      <c r="B317" s="1">
        <v>809</v>
      </c>
      <c r="C317" s="18" t="s">
        <v>38</v>
      </c>
      <c r="D317" s="1">
        <v>1176</v>
      </c>
      <c r="E317" s="1">
        <v>1176</v>
      </c>
      <c r="H317" s="15" t="s">
        <v>10</v>
      </c>
      <c r="I317" s="19"/>
    </row>
    <row r="318" spans="1:9">
      <c r="A318" s="8">
        <v>45745</v>
      </c>
      <c r="B318" s="1">
        <v>885</v>
      </c>
      <c r="C318" s="18" t="s">
        <v>48</v>
      </c>
      <c r="D318" s="1">
        <v>572</v>
      </c>
      <c r="E318" s="1">
        <v>572</v>
      </c>
      <c r="H318" s="15" t="s">
        <v>10</v>
      </c>
      <c r="I318" s="19"/>
    </row>
    <row r="319" spans="1:9">
      <c r="A319" s="8">
        <v>45745</v>
      </c>
      <c r="B319" s="1">
        <v>613</v>
      </c>
      <c r="C319" s="18" t="s">
        <v>39</v>
      </c>
      <c r="D319" s="1">
        <v>636</v>
      </c>
      <c r="E319" s="1">
        <v>636</v>
      </c>
      <c r="H319" s="15" t="s">
        <v>10</v>
      </c>
      <c r="I319" s="19"/>
    </row>
    <row r="320" spans="1:9">
      <c r="A320" s="8">
        <v>45745</v>
      </c>
      <c r="B320" s="1">
        <v>609</v>
      </c>
      <c r="C320" s="18" t="s">
        <v>33</v>
      </c>
      <c r="D320" s="1">
        <v>1540</v>
      </c>
      <c r="E320" s="1">
        <v>1540</v>
      </c>
      <c r="H320" s="15" t="s">
        <v>10</v>
      </c>
      <c r="I320" s="19"/>
    </row>
    <row r="321" spans="1:10">
      <c r="A321" s="8">
        <v>45746</v>
      </c>
      <c r="B321" s="1">
        <v>807</v>
      </c>
      <c r="C321" s="18" t="s">
        <v>52</v>
      </c>
      <c r="D321" s="1">
        <v>1230</v>
      </c>
      <c r="E321" s="1">
        <v>1230</v>
      </c>
      <c r="H321" s="15" t="s">
        <v>10</v>
      </c>
      <c r="I321" s="19">
        <f>SUM(E321:E330)</f>
        <v>8865</v>
      </c>
    </row>
    <row r="322" spans="1:10">
      <c r="A322" s="8">
        <v>45746</v>
      </c>
      <c r="B322" s="1">
        <v>875</v>
      </c>
      <c r="C322" s="18" t="s">
        <v>42</v>
      </c>
      <c r="D322" s="1">
        <v>1242</v>
      </c>
      <c r="E322" s="1">
        <v>1242</v>
      </c>
      <c r="H322" s="15" t="s">
        <v>10</v>
      </c>
      <c r="I322" s="19"/>
    </row>
    <row r="323" spans="1:10">
      <c r="A323" s="8">
        <v>45746</v>
      </c>
      <c r="B323" s="1">
        <v>810</v>
      </c>
      <c r="C323" s="18" t="s">
        <v>34</v>
      </c>
      <c r="D323" s="1">
        <v>820</v>
      </c>
      <c r="E323" s="1">
        <v>820</v>
      </c>
      <c r="H323" s="15" t="s">
        <v>10</v>
      </c>
      <c r="I323" s="19"/>
    </row>
    <row r="324" spans="1:10">
      <c r="A324" s="8">
        <v>45746</v>
      </c>
      <c r="B324" s="1">
        <v>813</v>
      </c>
      <c r="C324" s="18" t="s">
        <v>49</v>
      </c>
      <c r="D324" s="1">
        <v>472</v>
      </c>
      <c r="E324" s="1">
        <v>472</v>
      </c>
      <c r="H324" s="15" t="s">
        <v>10</v>
      </c>
      <c r="I324" s="19"/>
    </row>
    <row r="325" spans="1:10">
      <c r="A325" s="8">
        <v>45746</v>
      </c>
      <c r="B325" s="1">
        <v>818</v>
      </c>
      <c r="C325" s="18" t="s">
        <v>37</v>
      </c>
      <c r="D325" s="1">
        <v>1192</v>
      </c>
      <c r="E325" s="1">
        <v>1192</v>
      </c>
      <c r="H325" s="15" t="s">
        <v>10</v>
      </c>
      <c r="I325" s="19"/>
    </row>
    <row r="326" spans="1:10">
      <c r="A326" s="8">
        <v>45746</v>
      </c>
      <c r="B326" s="1">
        <v>817</v>
      </c>
      <c r="C326" s="18" t="s">
        <v>36</v>
      </c>
      <c r="D326" s="1">
        <v>1253</v>
      </c>
      <c r="E326" s="1">
        <v>1253</v>
      </c>
      <c r="H326" s="15" t="s">
        <v>10</v>
      </c>
      <c r="I326" s="19"/>
    </row>
    <row r="327" spans="1:10">
      <c r="A327" s="8">
        <v>45746</v>
      </c>
      <c r="B327" s="1">
        <v>809</v>
      </c>
      <c r="C327" s="18" t="s">
        <v>38</v>
      </c>
      <c r="D327" s="1">
        <v>940</v>
      </c>
      <c r="E327" s="1">
        <v>940</v>
      </c>
      <c r="H327" s="15" t="s">
        <v>10</v>
      </c>
      <c r="I327" s="19"/>
    </row>
    <row r="328" spans="1:10">
      <c r="A328" s="8">
        <v>45746</v>
      </c>
      <c r="B328" s="1">
        <v>613</v>
      </c>
      <c r="C328" s="18" t="s">
        <v>39</v>
      </c>
      <c r="D328" s="1">
        <v>660</v>
      </c>
      <c r="E328" s="1">
        <v>660</v>
      </c>
      <c r="H328" s="15" t="s">
        <v>10</v>
      </c>
      <c r="I328" s="19"/>
    </row>
    <row r="329" spans="1:10">
      <c r="A329" s="8">
        <v>45746</v>
      </c>
      <c r="B329" s="1">
        <v>885</v>
      </c>
      <c r="C329" s="18" t="s">
        <v>48</v>
      </c>
      <c r="D329" s="1">
        <v>660</v>
      </c>
      <c r="E329" s="1">
        <v>660</v>
      </c>
      <c r="H329" s="15" t="s">
        <v>10</v>
      </c>
      <c r="I329" s="19"/>
    </row>
    <row r="330" spans="1:10">
      <c r="A330" s="8">
        <v>45746</v>
      </c>
      <c r="B330" s="1">
        <v>871</v>
      </c>
      <c r="C330" s="18" t="s">
        <v>63</v>
      </c>
      <c r="D330" s="1">
        <v>396</v>
      </c>
      <c r="E330" s="1">
        <v>396</v>
      </c>
      <c r="H330" s="15" t="s">
        <v>10</v>
      </c>
      <c r="I330" s="19"/>
    </row>
    <row r="331" spans="1:10">
      <c r="A331" s="8">
        <v>45747</v>
      </c>
      <c r="B331" s="1">
        <v>896</v>
      </c>
      <c r="C331" s="18" t="s">
        <v>31</v>
      </c>
      <c r="D331" s="1">
        <v>1203</v>
      </c>
      <c r="E331" s="1">
        <v>1203</v>
      </c>
      <c r="H331" s="15" t="s">
        <v>10</v>
      </c>
      <c r="I331" s="19">
        <f>SUM(E331:E335)</f>
        <v>5256</v>
      </c>
    </row>
    <row r="332" spans="1:10">
      <c r="A332" s="8">
        <v>45747</v>
      </c>
      <c r="B332" s="1">
        <v>880</v>
      </c>
      <c r="C332" s="18" t="s">
        <v>32</v>
      </c>
      <c r="D332" s="1">
        <v>896</v>
      </c>
      <c r="E332" s="1">
        <v>896</v>
      </c>
      <c r="H332" s="15" t="s">
        <v>10</v>
      </c>
      <c r="I332" s="19"/>
    </row>
    <row r="333" spans="1:10">
      <c r="A333" s="8">
        <v>45747</v>
      </c>
      <c r="B333" s="1">
        <v>827</v>
      </c>
      <c r="C333" s="18" t="s">
        <v>50</v>
      </c>
      <c r="D333" s="1">
        <v>1446</v>
      </c>
      <c r="E333" s="1">
        <v>1446</v>
      </c>
      <c r="H333" s="15" t="s">
        <v>10</v>
      </c>
      <c r="I333" s="19"/>
    </row>
    <row r="334" spans="1:10">
      <c r="A334" s="8">
        <v>45747</v>
      </c>
      <c r="B334" s="1">
        <v>899</v>
      </c>
      <c r="C334" s="18" t="s">
        <v>134</v>
      </c>
      <c r="D334" s="1">
        <v>207</v>
      </c>
      <c r="E334" s="1">
        <v>207</v>
      </c>
      <c r="H334" s="15" t="s">
        <v>10</v>
      </c>
      <c r="I334" s="19"/>
    </row>
    <row r="335" spans="1:10">
      <c r="A335" s="8">
        <v>45747</v>
      </c>
      <c r="B335" s="1">
        <v>828</v>
      </c>
      <c r="C335" s="18" t="s">
        <v>51</v>
      </c>
      <c r="D335" s="1">
        <v>1504</v>
      </c>
      <c r="E335" s="1">
        <v>1504</v>
      </c>
      <c r="H335" s="15" t="s">
        <v>10</v>
      </c>
      <c r="I335" s="19"/>
    </row>
    <row r="336" spans="1:10">
      <c r="J336">
        <f>SUM(I1:I335)</f>
        <v>166100</v>
      </c>
    </row>
    <row r="337" spans="10:11">
      <c r="J337">
        <f>J336*0.05</f>
        <v>8305</v>
      </c>
    </row>
    <row r="338" ht="40.5" spans="10:11">
      <c r="J338" s="20" t="s">
        <v>153</v>
      </c>
      <c r="K338">
        <v>4300</v>
      </c>
    </row>
  </sheetData>
  <mergeCells count="31">
    <mergeCell ref="I2:I9"/>
    <mergeCell ref="I10:I14"/>
    <mergeCell ref="I15:I25"/>
    <mergeCell ref="I26:I38"/>
    <mergeCell ref="I39:I45"/>
    <mergeCell ref="I46:I53"/>
    <mergeCell ref="I54:I60"/>
    <mergeCell ref="I61:I72"/>
    <mergeCell ref="I73:I87"/>
    <mergeCell ref="I88:I102"/>
    <mergeCell ref="I103:I115"/>
    <mergeCell ref="I116:I123"/>
    <mergeCell ref="I124:I133"/>
    <mergeCell ref="I134:I146"/>
    <mergeCell ref="I147:I155"/>
    <mergeCell ref="I156:I163"/>
    <mergeCell ref="I164:I180"/>
    <mergeCell ref="I181:I189"/>
    <mergeCell ref="I190:I203"/>
    <mergeCell ref="I204:I218"/>
    <mergeCell ref="I219:I228"/>
    <mergeCell ref="I229:I238"/>
    <mergeCell ref="I239:I252"/>
    <mergeCell ref="I253:I264"/>
    <mergeCell ref="I265:I276"/>
    <mergeCell ref="I277:I288"/>
    <mergeCell ref="I289:I299"/>
    <mergeCell ref="I300:I311"/>
    <mergeCell ref="I312:I320"/>
    <mergeCell ref="I321:I330"/>
    <mergeCell ref="I331:I33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zoomScale="95" zoomScaleNormal="95" topLeftCell="A3" workbookViewId="0">
      <selection activeCell="L22" sqref="L22"/>
    </sheetView>
  </sheetViews>
  <sheetFormatPr defaultColWidth="10" defaultRowHeight="13.5"/>
  <cols>
    <col min="1" max="1" width="8.11666666666667" style="1" customWidth="1"/>
    <col min="2" max="2" width="5.29166666666667" style="1" customWidth="1"/>
    <col min="3" max="3" width="6.11666666666667" style="2" customWidth="1"/>
    <col min="4" max="7" width="9.23333333333333" style="1" customWidth="1"/>
    <col min="8" max="8" width="5.11666666666667" style="1" customWidth="1"/>
    <col min="9" max="9" width="5.29166666666667" style="1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45697</v>
      </c>
      <c r="B2" s="9">
        <v>9875</v>
      </c>
      <c r="C2" s="10" t="s">
        <v>43</v>
      </c>
      <c r="D2" s="9">
        <v>316</v>
      </c>
      <c r="E2" s="9">
        <v>316</v>
      </c>
      <c r="F2" s="9"/>
      <c r="G2" s="9"/>
      <c r="H2" s="9" t="s">
        <v>10</v>
      </c>
      <c r="I2" s="11">
        <f>SUM(E2:E4)</f>
        <v>856</v>
      </c>
    </row>
    <row r="3" spans="1:16">
      <c r="A3" s="8">
        <v>45697</v>
      </c>
      <c r="B3" s="12">
        <v>823</v>
      </c>
      <c r="C3" s="13" t="s">
        <v>139</v>
      </c>
      <c r="D3" s="12">
        <v>300</v>
      </c>
      <c r="E3" s="12">
        <v>300</v>
      </c>
      <c r="F3" s="12"/>
      <c r="G3" s="12"/>
      <c r="H3" s="12" t="s">
        <v>10</v>
      </c>
      <c r="I3" s="14"/>
    </row>
    <row r="4" spans="1:16">
      <c r="A4" s="8">
        <v>45697</v>
      </c>
      <c r="B4" s="12">
        <v>813</v>
      </c>
      <c r="C4" s="13" t="s">
        <v>49</v>
      </c>
      <c r="D4" s="12">
        <v>240</v>
      </c>
      <c r="E4" s="12">
        <v>240</v>
      </c>
      <c r="F4" s="12"/>
      <c r="G4" s="12"/>
      <c r="H4" s="12" t="s">
        <v>10</v>
      </c>
      <c r="I4" s="14"/>
    </row>
    <row r="5" spans="1:16">
      <c r="A5" s="8">
        <v>45698</v>
      </c>
      <c r="B5" s="12">
        <v>807</v>
      </c>
      <c r="C5" s="13" t="s">
        <v>52</v>
      </c>
      <c r="D5" s="12">
        <v>516</v>
      </c>
      <c r="E5" s="12">
        <v>516</v>
      </c>
      <c r="F5" s="12"/>
      <c r="G5" s="12"/>
      <c r="H5" s="12" t="s">
        <v>10</v>
      </c>
      <c r="I5" s="14">
        <f>SUM(E5:E8)</f>
        <v>1260</v>
      </c>
    </row>
    <row r="6" spans="1:16">
      <c r="A6" s="8">
        <v>45698</v>
      </c>
      <c r="B6" s="12">
        <v>9875</v>
      </c>
      <c r="C6" s="13" t="s">
        <v>43</v>
      </c>
      <c r="D6" s="12">
        <v>644</v>
      </c>
      <c r="E6" s="12">
        <v>644</v>
      </c>
      <c r="F6" s="12"/>
      <c r="G6" s="12"/>
      <c r="H6" s="12" t="s">
        <v>10</v>
      </c>
      <c r="I6" s="14"/>
    </row>
    <row r="7" spans="1:16">
      <c r="A7" s="8">
        <v>45698</v>
      </c>
      <c r="B7" s="12">
        <v>813</v>
      </c>
      <c r="C7" s="13" t="s">
        <v>49</v>
      </c>
      <c r="D7" s="12">
        <v>50</v>
      </c>
      <c r="E7" s="12">
        <v>50</v>
      </c>
      <c r="F7" s="12"/>
      <c r="G7" s="12"/>
      <c r="H7" s="12" t="s">
        <v>10</v>
      </c>
      <c r="I7" s="14"/>
    </row>
    <row r="8" spans="1:16">
      <c r="A8" s="8">
        <v>45698</v>
      </c>
      <c r="B8" s="12">
        <v>823</v>
      </c>
      <c r="C8" s="13" t="s">
        <v>139</v>
      </c>
      <c r="D8" s="12">
        <v>50</v>
      </c>
      <c r="E8" s="12">
        <v>50</v>
      </c>
      <c r="F8" s="12"/>
      <c r="G8" s="12"/>
      <c r="H8" s="12" t="s">
        <v>10</v>
      </c>
      <c r="I8" s="14"/>
    </row>
    <row r="9" spans="1:16">
      <c r="A9" s="8">
        <v>45701</v>
      </c>
      <c r="B9" s="12">
        <v>9810</v>
      </c>
      <c r="C9" s="13" t="s">
        <v>35</v>
      </c>
      <c r="D9" s="12">
        <v>436</v>
      </c>
      <c r="E9" s="12">
        <v>436</v>
      </c>
      <c r="F9" s="12"/>
      <c r="G9" s="12"/>
      <c r="H9" s="12" t="s">
        <v>10</v>
      </c>
      <c r="I9" s="14">
        <f>SUM(E9:E15)</f>
        <v>2202</v>
      </c>
    </row>
    <row r="10" spans="1:16">
      <c r="A10" s="8">
        <v>45701</v>
      </c>
      <c r="B10" s="12">
        <v>813</v>
      </c>
      <c r="C10" s="13" t="s">
        <v>49</v>
      </c>
      <c r="D10" s="12">
        <v>227</v>
      </c>
      <c r="E10" s="12">
        <v>227</v>
      </c>
      <c r="F10" s="12"/>
      <c r="G10" s="12"/>
      <c r="H10" s="12" t="s">
        <v>10</v>
      </c>
      <c r="I10" s="14"/>
    </row>
    <row r="11" spans="1:16">
      <c r="A11" s="8">
        <v>45701</v>
      </c>
      <c r="B11" s="12">
        <v>823</v>
      </c>
      <c r="C11" s="13" t="s">
        <v>139</v>
      </c>
      <c r="D11" s="12">
        <v>151</v>
      </c>
      <c r="E11" s="12">
        <v>151</v>
      </c>
      <c r="F11" s="12"/>
      <c r="G11" s="12"/>
      <c r="H11" s="12" t="s">
        <v>10</v>
      </c>
      <c r="I11" s="14"/>
    </row>
    <row r="12" spans="1:16">
      <c r="A12" s="8">
        <v>45701</v>
      </c>
      <c r="B12" s="12">
        <v>807</v>
      </c>
      <c r="C12" s="13" t="s">
        <v>52</v>
      </c>
      <c r="D12" s="12">
        <v>316</v>
      </c>
      <c r="E12" s="12">
        <v>316</v>
      </c>
      <c r="F12" s="12"/>
      <c r="G12" s="12"/>
      <c r="H12" s="12" t="s">
        <v>10</v>
      </c>
      <c r="I12" s="14"/>
    </row>
    <row r="13" spans="1:16">
      <c r="A13" s="8">
        <v>45701</v>
      </c>
      <c r="B13" s="12">
        <v>875</v>
      </c>
      <c r="C13" s="13" t="s">
        <v>42</v>
      </c>
      <c r="D13" s="12">
        <v>224</v>
      </c>
      <c r="E13" s="12">
        <v>224</v>
      </c>
      <c r="F13" s="12"/>
      <c r="G13" s="12"/>
      <c r="H13" s="12" t="s">
        <v>10</v>
      </c>
      <c r="I13" s="14"/>
    </row>
    <row r="14" spans="1:16">
      <c r="A14" s="8">
        <v>45701</v>
      </c>
      <c r="B14" s="12">
        <v>896</v>
      </c>
      <c r="C14" s="13" t="s">
        <v>31</v>
      </c>
      <c r="D14" s="12">
        <v>488</v>
      </c>
      <c r="E14" s="12">
        <v>488</v>
      </c>
      <c r="F14" s="12"/>
      <c r="G14" s="12"/>
      <c r="H14" s="12" t="s">
        <v>10</v>
      </c>
      <c r="I14" s="14"/>
    </row>
    <row r="15" spans="1:16">
      <c r="A15" s="8">
        <v>45701</v>
      </c>
      <c r="B15" s="12">
        <v>880</v>
      </c>
      <c r="C15" s="13" t="s">
        <v>32</v>
      </c>
      <c r="D15" s="12">
        <v>360</v>
      </c>
      <c r="E15" s="12">
        <v>360</v>
      </c>
      <c r="F15" s="12"/>
      <c r="G15" s="12"/>
      <c r="H15" s="12" t="s">
        <v>10</v>
      </c>
      <c r="I15" s="14"/>
    </row>
    <row r="16" spans="1:16">
      <c r="A16" s="8">
        <v>45702</v>
      </c>
      <c r="B16" s="12">
        <v>9810</v>
      </c>
      <c r="C16" s="13" t="s">
        <v>35</v>
      </c>
      <c r="D16" s="12">
        <v>212</v>
      </c>
      <c r="E16" s="12">
        <v>212</v>
      </c>
      <c r="F16" s="12"/>
      <c r="G16" s="12"/>
      <c r="H16" s="12" t="s">
        <v>10</v>
      </c>
      <c r="I16" s="14">
        <f>SUM(E16:E20)</f>
        <v>1588</v>
      </c>
    </row>
    <row r="17" spans="1:9">
      <c r="A17" s="8">
        <v>45702</v>
      </c>
      <c r="B17" s="12">
        <v>9875</v>
      </c>
      <c r="C17" s="13" t="s">
        <v>43</v>
      </c>
      <c r="D17" s="12">
        <v>436</v>
      </c>
      <c r="E17" s="12">
        <v>436</v>
      </c>
      <c r="F17" s="12"/>
      <c r="G17" s="12"/>
      <c r="H17" s="12" t="s">
        <v>10</v>
      </c>
      <c r="I17" s="14"/>
    </row>
    <row r="18" spans="1:9">
      <c r="A18" s="8">
        <v>45702</v>
      </c>
      <c r="B18" s="12">
        <v>813</v>
      </c>
      <c r="C18" s="13" t="s">
        <v>49</v>
      </c>
      <c r="D18" s="12">
        <v>450</v>
      </c>
      <c r="E18" s="12">
        <v>450</v>
      </c>
      <c r="F18" s="12"/>
      <c r="G18" s="12"/>
      <c r="H18" s="12" t="s">
        <v>10</v>
      </c>
      <c r="I18" s="14"/>
    </row>
    <row r="19" spans="1:9">
      <c r="A19" s="8">
        <v>45702</v>
      </c>
      <c r="B19" s="12">
        <v>823</v>
      </c>
      <c r="C19" s="13" t="s">
        <v>139</v>
      </c>
      <c r="D19" s="12">
        <v>450</v>
      </c>
      <c r="E19" s="12">
        <v>450</v>
      </c>
      <c r="F19" s="12"/>
      <c r="G19" s="12"/>
      <c r="H19" s="12" t="s">
        <v>10</v>
      </c>
      <c r="I19" s="14"/>
    </row>
    <row r="20" spans="1:9">
      <c r="A20" s="8">
        <v>45702</v>
      </c>
      <c r="B20" s="12">
        <v>875</v>
      </c>
      <c r="C20" s="13" t="s">
        <v>42</v>
      </c>
      <c r="D20" s="12">
        <v>40</v>
      </c>
      <c r="E20" s="12">
        <v>40</v>
      </c>
      <c r="F20" s="12"/>
      <c r="G20" s="12"/>
      <c r="H20" s="12" t="s">
        <v>10</v>
      </c>
      <c r="I20" s="14"/>
    </row>
    <row r="21" spans="1:9">
      <c r="A21" s="8">
        <v>45703</v>
      </c>
      <c r="B21" s="12">
        <v>9875</v>
      </c>
      <c r="C21" s="13" t="s">
        <v>43</v>
      </c>
      <c r="D21" s="12">
        <v>376</v>
      </c>
      <c r="E21" s="12">
        <v>376</v>
      </c>
      <c r="F21" s="12"/>
      <c r="G21" s="12"/>
      <c r="H21" s="12" t="s">
        <v>10</v>
      </c>
      <c r="I21" s="14">
        <f>SUM(E21:E32)</f>
        <v>4833</v>
      </c>
    </row>
    <row r="22" spans="1:9">
      <c r="A22" s="8">
        <v>45703</v>
      </c>
      <c r="B22" s="12">
        <v>807</v>
      </c>
      <c r="C22" s="13" t="s">
        <v>52</v>
      </c>
      <c r="D22" s="12">
        <v>208</v>
      </c>
      <c r="E22" s="12">
        <v>208</v>
      </c>
      <c r="F22" s="12"/>
      <c r="G22" s="12"/>
      <c r="H22" s="12" t="s">
        <v>10</v>
      </c>
      <c r="I22" s="14"/>
    </row>
    <row r="23" spans="1:9">
      <c r="A23" s="8">
        <v>45703</v>
      </c>
      <c r="B23" s="12">
        <v>871</v>
      </c>
      <c r="C23" s="13" t="s">
        <v>63</v>
      </c>
      <c r="D23" s="12">
        <v>328</v>
      </c>
      <c r="E23" s="12">
        <v>328</v>
      </c>
      <c r="F23" s="12"/>
      <c r="G23" s="12"/>
      <c r="H23" s="12" t="s">
        <v>10</v>
      </c>
      <c r="I23" s="14"/>
    </row>
    <row r="24" spans="1:9">
      <c r="A24" s="8">
        <v>45703</v>
      </c>
      <c r="B24" s="12">
        <v>896</v>
      </c>
      <c r="C24" s="13" t="s">
        <v>31</v>
      </c>
      <c r="D24" s="12">
        <v>764</v>
      </c>
      <c r="E24" s="12">
        <v>764</v>
      </c>
      <c r="F24" s="12"/>
      <c r="G24" s="12"/>
      <c r="H24" s="12" t="s">
        <v>10</v>
      </c>
      <c r="I24" s="14"/>
    </row>
    <row r="25" spans="1:9">
      <c r="A25" s="8">
        <v>45703</v>
      </c>
      <c r="B25" s="12">
        <v>880</v>
      </c>
      <c r="C25" s="13" t="s">
        <v>32</v>
      </c>
      <c r="D25" s="12">
        <v>352</v>
      </c>
      <c r="E25" s="12">
        <v>352</v>
      </c>
      <c r="F25" s="12"/>
      <c r="G25" s="12"/>
      <c r="H25" s="12" t="s">
        <v>10</v>
      </c>
      <c r="I25" s="14"/>
    </row>
    <row r="26" spans="1:9">
      <c r="A26" s="8">
        <v>45703</v>
      </c>
      <c r="B26" s="12">
        <v>899</v>
      </c>
      <c r="C26" s="13" t="s">
        <v>134</v>
      </c>
      <c r="D26" s="12">
        <v>756</v>
      </c>
      <c r="E26" s="12">
        <v>756</v>
      </c>
      <c r="F26" s="12"/>
      <c r="G26" s="12"/>
      <c r="H26" s="12" t="s">
        <v>10</v>
      </c>
      <c r="I26" s="14"/>
    </row>
    <row r="27" spans="1:9">
      <c r="A27" s="8">
        <v>45703</v>
      </c>
      <c r="B27" s="12">
        <v>810</v>
      </c>
      <c r="C27" s="13" t="s">
        <v>34</v>
      </c>
      <c r="D27" s="12">
        <v>186</v>
      </c>
      <c r="E27" s="12">
        <v>186</v>
      </c>
      <c r="F27" s="12"/>
      <c r="G27" s="12"/>
      <c r="H27" s="12" t="s">
        <v>10</v>
      </c>
      <c r="I27" s="14"/>
    </row>
    <row r="28" spans="1:9">
      <c r="A28" s="8">
        <v>45703</v>
      </c>
      <c r="B28" s="12">
        <v>888</v>
      </c>
      <c r="C28" s="13" t="s">
        <v>135</v>
      </c>
      <c r="D28" s="12">
        <v>231</v>
      </c>
      <c r="E28" s="12">
        <v>231</v>
      </c>
      <c r="F28" s="12"/>
      <c r="G28" s="12"/>
      <c r="H28" s="12" t="s">
        <v>10</v>
      </c>
      <c r="I28" s="14"/>
    </row>
    <row r="29" spans="1:9">
      <c r="A29" s="8">
        <v>45703</v>
      </c>
      <c r="B29" s="12">
        <v>817</v>
      </c>
      <c r="C29" s="13" t="s">
        <v>36</v>
      </c>
      <c r="D29" s="12">
        <v>408</v>
      </c>
      <c r="E29" s="12">
        <v>408</v>
      </c>
      <c r="F29" s="12"/>
      <c r="G29" s="12"/>
      <c r="H29" s="12" t="s">
        <v>10</v>
      </c>
      <c r="I29" s="14"/>
    </row>
    <row r="30" spans="1:9">
      <c r="A30" s="8">
        <v>45703</v>
      </c>
      <c r="B30" s="12">
        <v>896</v>
      </c>
      <c r="C30" s="13" t="s">
        <v>31</v>
      </c>
      <c r="D30" s="12">
        <v>408</v>
      </c>
      <c r="E30" s="12">
        <v>408</v>
      </c>
      <c r="F30" s="12"/>
      <c r="G30" s="12"/>
      <c r="H30" s="12" t="s">
        <v>10</v>
      </c>
      <c r="I30" s="14"/>
    </row>
    <row r="31" spans="1:9">
      <c r="A31" s="8">
        <v>45703</v>
      </c>
      <c r="B31" s="12">
        <v>887</v>
      </c>
      <c r="C31" s="13" t="s">
        <v>138</v>
      </c>
      <c r="D31" s="12">
        <v>408</v>
      </c>
      <c r="E31" s="12">
        <v>408</v>
      </c>
      <c r="F31" s="12"/>
      <c r="G31" s="12"/>
      <c r="H31" s="12" t="s">
        <v>10</v>
      </c>
      <c r="I31" s="14"/>
    </row>
    <row r="32" spans="1:9">
      <c r="A32" s="8">
        <v>45703</v>
      </c>
      <c r="B32" s="12">
        <v>880</v>
      </c>
      <c r="C32" s="13" t="s">
        <v>32</v>
      </c>
      <c r="D32" s="12">
        <v>408</v>
      </c>
      <c r="E32" s="12">
        <v>408</v>
      </c>
      <c r="F32" s="12"/>
      <c r="G32" s="12"/>
      <c r="H32" s="12" t="s">
        <v>10</v>
      </c>
      <c r="I32" s="14"/>
    </row>
    <row r="33" spans="1:9">
      <c r="A33" s="8">
        <v>45704</v>
      </c>
      <c r="B33" s="12">
        <v>9875</v>
      </c>
      <c r="C33" s="13" t="s">
        <v>43</v>
      </c>
      <c r="D33" s="12">
        <v>810</v>
      </c>
      <c r="E33" s="12">
        <v>810</v>
      </c>
      <c r="F33" s="12"/>
      <c r="G33" s="12"/>
      <c r="H33" s="12" t="s">
        <v>10</v>
      </c>
      <c r="I33" s="14">
        <f>SUM(E33:E38)</f>
        <v>2748</v>
      </c>
    </row>
    <row r="34" spans="1:9">
      <c r="A34" s="8">
        <v>45704</v>
      </c>
      <c r="B34" s="12">
        <v>9810</v>
      </c>
      <c r="C34" s="13" t="s">
        <v>35</v>
      </c>
      <c r="D34" s="12">
        <v>186</v>
      </c>
      <c r="E34" s="12">
        <v>186</v>
      </c>
      <c r="F34" s="12"/>
      <c r="G34" s="12"/>
      <c r="H34" s="12" t="s">
        <v>10</v>
      </c>
      <c r="I34" s="14"/>
    </row>
    <row r="35" spans="1:9">
      <c r="A35" s="8">
        <v>45704</v>
      </c>
      <c r="B35" s="12">
        <v>809</v>
      </c>
      <c r="C35" s="13" t="s">
        <v>38</v>
      </c>
      <c r="D35" s="12">
        <v>648</v>
      </c>
      <c r="E35" s="12">
        <v>648</v>
      </c>
      <c r="F35" s="12"/>
      <c r="G35" s="12"/>
      <c r="H35" s="12" t="s">
        <v>10</v>
      </c>
      <c r="I35" s="14"/>
    </row>
    <row r="36" spans="1:9">
      <c r="A36" s="8">
        <v>45704</v>
      </c>
      <c r="B36" s="12">
        <v>613</v>
      </c>
      <c r="C36" s="13" t="s">
        <v>39</v>
      </c>
      <c r="D36" s="12">
        <v>280</v>
      </c>
      <c r="E36" s="12">
        <v>280</v>
      </c>
      <c r="F36" s="12"/>
      <c r="G36" s="12"/>
      <c r="H36" s="12" t="s">
        <v>10</v>
      </c>
      <c r="I36" s="14"/>
    </row>
    <row r="37" spans="1:9">
      <c r="A37" s="8">
        <v>45704</v>
      </c>
      <c r="B37" s="12">
        <v>885</v>
      </c>
      <c r="C37" s="13" t="s">
        <v>48</v>
      </c>
      <c r="D37" s="12">
        <v>232</v>
      </c>
      <c r="E37" s="12">
        <v>232</v>
      </c>
      <c r="F37" s="12"/>
      <c r="G37" s="12"/>
      <c r="H37" s="12" t="s">
        <v>10</v>
      </c>
      <c r="I37" s="14"/>
    </row>
    <row r="38" spans="1:9">
      <c r="A38" s="8">
        <v>45704</v>
      </c>
      <c r="B38" s="12">
        <v>899</v>
      </c>
      <c r="C38" s="13" t="s">
        <v>134</v>
      </c>
      <c r="D38" s="12">
        <v>592</v>
      </c>
      <c r="E38" s="12">
        <v>592</v>
      </c>
      <c r="F38" s="12"/>
      <c r="G38" s="12"/>
      <c r="H38" s="12" t="s">
        <v>10</v>
      </c>
      <c r="I38" s="14"/>
    </row>
    <row r="39" spans="1:9">
      <c r="A39" s="8">
        <v>45705</v>
      </c>
      <c r="B39" s="12">
        <v>609</v>
      </c>
      <c r="C39" s="13" t="s">
        <v>33</v>
      </c>
      <c r="D39" s="12">
        <v>372</v>
      </c>
      <c r="E39" s="12">
        <v>372</v>
      </c>
      <c r="F39" s="12"/>
      <c r="G39" s="12"/>
      <c r="H39" s="12" t="s">
        <v>10</v>
      </c>
      <c r="I39" s="14">
        <f>SUM(E39:E48)</f>
        <v>2158</v>
      </c>
    </row>
    <row r="40" spans="1:9">
      <c r="A40" s="8">
        <v>45705</v>
      </c>
      <c r="B40" s="12">
        <v>880</v>
      </c>
      <c r="C40" s="13" t="s">
        <v>32</v>
      </c>
      <c r="D40" s="12">
        <v>372</v>
      </c>
      <c r="E40" s="12">
        <v>372</v>
      </c>
      <c r="F40" s="12"/>
      <c r="G40" s="12"/>
      <c r="H40" s="12" t="s">
        <v>10</v>
      </c>
      <c r="I40" s="14"/>
    </row>
    <row r="41" spans="1:9">
      <c r="A41" s="8">
        <v>45705</v>
      </c>
      <c r="B41" s="12">
        <v>899</v>
      </c>
      <c r="C41" s="13" t="s">
        <v>134</v>
      </c>
      <c r="D41" s="12">
        <v>372</v>
      </c>
      <c r="E41" s="12">
        <v>372</v>
      </c>
      <c r="F41" s="12"/>
      <c r="G41" s="12"/>
      <c r="H41" s="12" t="s">
        <v>10</v>
      </c>
      <c r="I41" s="14"/>
    </row>
    <row r="42" spans="1:9">
      <c r="A42" s="8">
        <v>45705</v>
      </c>
      <c r="B42" s="12">
        <v>9810</v>
      </c>
      <c r="C42" s="13" t="s">
        <v>35</v>
      </c>
      <c r="D42" s="12">
        <v>50</v>
      </c>
      <c r="E42" s="12">
        <v>50</v>
      </c>
      <c r="F42" s="12"/>
      <c r="G42" s="12"/>
      <c r="H42" s="12" t="s">
        <v>10</v>
      </c>
      <c r="I42" s="14"/>
    </row>
    <row r="43" spans="1:9">
      <c r="A43" s="8">
        <v>45705</v>
      </c>
      <c r="B43" s="12">
        <v>810</v>
      </c>
      <c r="C43" s="13" t="s">
        <v>34</v>
      </c>
      <c r="D43" s="12">
        <v>50</v>
      </c>
      <c r="E43" s="12">
        <v>50</v>
      </c>
      <c r="F43" s="12"/>
      <c r="G43" s="12"/>
      <c r="H43" s="12" t="s">
        <v>10</v>
      </c>
      <c r="I43" s="14"/>
    </row>
    <row r="44" spans="1:9">
      <c r="A44" s="8">
        <v>45705</v>
      </c>
      <c r="B44" s="12">
        <v>813</v>
      </c>
      <c r="C44" s="13" t="s">
        <v>49</v>
      </c>
      <c r="D44" s="12">
        <v>50</v>
      </c>
      <c r="E44" s="12">
        <v>50</v>
      </c>
      <c r="F44" s="12"/>
      <c r="G44" s="12"/>
      <c r="H44" s="12" t="s">
        <v>10</v>
      </c>
      <c r="I44" s="14"/>
    </row>
    <row r="45" spans="1:9">
      <c r="A45" s="8">
        <v>45705</v>
      </c>
      <c r="B45" s="12">
        <v>823</v>
      </c>
      <c r="C45" s="13" t="s">
        <v>139</v>
      </c>
      <c r="D45" s="12">
        <v>50</v>
      </c>
      <c r="E45" s="12">
        <v>50</v>
      </c>
      <c r="F45" s="12"/>
      <c r="G45" s="12"/>
      <c r="H45" s="12" t="s">
        <v>10</v>
      </c>
      <c r="I45" s="14"/>
    </row>
    <row r="46" spans="1:9">
      <c r="A46" s="8">
        <v>45705</v>
      </c>
      <c r="B46" s="12">
        <v>9875</v>
      </c>
      <c r="C46" s="13" t="s">
        <v>43</v>
      </c>
      <c r="D46" s="12">
        <v>200</v>
      </c>
      <c r="E46" s="12">
        <v>200</v>
      </c>
      <c r="F46" s="12"/>
      <c r="G46" s="12"/>
      <c r="H46" s="12" t="s">
        <v>10</v>
      </c>
      <c r="I46" s="14"/>
    </row>
    <row r="47" spans="1:9">
      <c r="A47" s="8">
        <v>45705</v>
      </c>
      <c r="B47" s="12">
        <v>813</v>
      </c>
      <c r="C47" s="13" t="s">
        <v>49</v>
      </c>
      <c r="D47" s="12">
        <v>357</v>
      </c>
      <c r="E47" s="12">
        <v>357</v>
      </c>
      <c r="F47" s="12"/>
      <c r="G47" s="12"/>
      <c r="H47" s="12" t="s">
        <v>10</v>
      </c>
      <c r="I47" s="14"/>
    </row>
    <row r="48" spans="1:9">
      <c r="A48" s="8">
        <v>45705</v>
      </c>
      <c r="B48" s="12">
        <v>823</v>
      </c>
      <c r="C48" s="13" t="s">
        <v>139</v>
      </c>
      <c r="D48" s="12">
        <v>285</v>
      </c>
      <c r="E48" s="12">
        <v>285</v>
      </c>
      <c r="F48" s="12"/>
      <c r="G48" s="12"/>
      <c r="H48" s="12" t="s">
        <v>10</v>
      </c>
      <c r="I48" s="14"/>
    </row>
    <row r="49" spans="1:9">
      <c r="A49" s="8">
        <v>45706</v>
      </c>
      <c r="B49" s="12">
        <v>809</v>
      </c>
      <c r="C49" s="13" t="s">
        <v>38</v>
      </c>
      <c r="D49" s="12">
        <v>366</v>
      </c>
      <c r="E49" s="12">
        <v>366</v>
      </c>
      <c r="F49" s="12"/>
      <c r="G49" s="12"/>
      <c r="H49" s="12" t="s">
        <v>10</v>
      </c>
      <c r="I49" s="14">
        <f>SUM(E49:E51)</f>
        <v>1254</v>
      </c>
    </row>
    <row r="50" spans="1:9">
      <c r="A50" s="8">
        <v>45706</v>
      </c>
      <c r="B50" s="12">
        <v>9875</v>
      </c>
      <c r="C50" s="13" t="s">
        <v>43</v>
      </c>
      <c r="D50" s="12">
        <v>436</v>
      </c>
      <c r="E50" s="12">
        <v>436</v>
      </c>
      <c r="F50" s="12"/>
      <c r="G50" s="12"/>
      <c r="H50" s="12" t="s">
        <v>10</v>
      </c>
      <c r="I50" s="14"/>
    </row>
    <row r="51" spans="1:9">
      <c r="A51" s="8">
        <v>45706</v>
      </c>
      <c r="B51" s="12">
        <v>9810</v>
      </c>
      <c r="C51" s="13" t="s">
        <v>35</v>
      </c>
      <c r="D51" s="12">
        <v>452</v>
      </c>
      <c r="E51" s="12">
        <v>452</v>
      </c>
      <c r="F51" s="12"/>
      <c r="G51" s="12"/>
      <c r="H51" s="12" t="s">
        <v>10</v>
      </c>
      <c r="I51" s="14"/>
    </row>
    <row r="52" spans="1:9">
      <c r="A52" s="8">
        <v>45707</v>
      </c>
      <c r="B52" s="12">
        <v>876</v>
      </c>
      <c r="C52" s="13" t="s">
        <v>150</v>
      </c>
      <c r="D52" s="12">
        <v>104</v>
      </c>
      <c r="E52" s="12">
        <v>104</v>
      </c>
      <c r="F52" s="12"/>
      <c r="G52" s="12"/>
      <c r="H52" s="12" t="s">
        <v>10</v>
      </c>
      <c r="I52" s="14">
        <f>SUM(E52:E59)</f>
        <v>2474</v>
      </c>
    </row>
    <row r="53" spans="1:9">
      <c r="A53" s="8">
        <v>45707</v>
      </c>
      <c r="B53" s="12">
        <v>875</v>
      </c>
      <c r="C53" s="13" t="s">
        <v>42</v>
      </c>
      <c r="D53" s="12">
        <v>108</v>
      </c>
      <c r="E53" s="12">
        <v>108</v>
      </c>
      <c r="F53" s="12"/>
      <c r="G53" s="12"/>
      <c r="H53" s="12" t="s">
        <v>10</v>
      </c>
      <c r="I53" s="14"/>
    </row>
    <row r="54" spans="1:9">
      <c r="A54" s="8">
        <v>45707</v>
      </c>
      <c r="B54" s="12">
        <v>813</v>
      </c>
      <c r="C54" s="13" t="s">
        <v>49</v>
      </c>
      <c r="D54" s="12">
        <v>676</v>
      </c>
      <c r="E54" s="12">
        <v>676</v>
      </c>
      <c r="F54" s="12"/>
      <c r="G54" s="12"/>
      <c r="H54" s="12" t="s">
        <v>10</v>
      </c>
      <c r="I54" s="14"/>
    </row>
    <row r="55" spans="1:9">
      <c r="A55" s="8">
        <v>45707</v>
      </c>
      <c r="B55" s="12">
        <v>818</v>
      </c>
      <c r="C55" s="13" t="s">
        <v>37</v>
      </c>
      <c r="D55" s="12">
        <v>608</v>
      </c>
      <c r="E55" s="12">
        <v>608</v>
      </c>
      <c r="F55" s="12"/>
      <c r="G55" s="12"/>
      <c r="H55" s="12" t="s">
        <v>10</v>
      </c>
      <c r="I55" s="14"/>
    </row>
    <row r="56" spans="1:9">
      <c r="A56" s="8">
        <v>45707</v>
      </c>
      <c r="B56" s="12">
        <v>817</v>
      </c>
      <c r="C56" s="13" t="s">
        <v>36</v>
      </c>
      <c r="D56" s="12">
        <v>117</v>
      </c>
      <c r="E56" s="12">
        <v>117</v>
      </c>
      <c r="F56" s="12"/>
      <c r="G56" s="12"/>
      <c r="H56" s="12" t="s">
        <v>10</v>
      </c>
      <c r="I56" s="14"/>
    </row>
    <row r="57" spans="1:9">
      <c r="A57" s="8">
        <v>45707</v>
      </c>
      <c r="B57" s="12">
        <v>880</v>
      </c>
      <c r="C57" s="13" t="s">
        <v>32</v>
      </c>
      <c r="D57" s="12">
        <v>297</v>
      </c>
      <c r="E57" s="12">
        <v>297</v>
      </c>
      <c r="F57" s="12"/>
      <c r="G57" s="12"/>
      <c r="H57" s="12" t="s">
        <v>10</v>
      </c>
      <c r="I57" s="14"/>
    </row>
    <row r="58" spans="1:9">
      <c r="A58" s="8">
        <v>45707</v>
      </c>
      <c r="B58" s="12">
        <v>896</v>
      </c>
      <c r="C58" s="13" t="s">
        <v>31</v>
      </c>
      <c r="D58" s="12">
        <v>240</v>
      </c>
      <c r="E58" s="12">
        <v>240</v>
      </c>
      <c r="F58" s="12"/>
      <c r="G58" s="12"/>
      <c r="H58" s="12" t="s">
        <v>10</v>
      </c>
      <c r="I58" s="14"/>
    </row>
    <row r="59" spans="1:9">
      <c r="A59" s="8">
        <v>45707</v>
      </c>
      <c r="B59" s="12">
        <v>871</v>
      </c>
      <c r="C59" s="13" t="s">
        <v>63</v>
      </c>
      <c r="D59" s="12">
        <v>324</v>
      </c>
      <c r="E59" s="12">
        <v>324</v>
      </c>
      <c r="F59" s="12"/>
      <c r="G59" s="12"/>
      <c r="H59" s="12" t="s">
        <v>10</v>
      </c>
      <c r="I59" s="14"/>
    </row>
    <row r="60" spans="1:9">
      <c r="A60" s="8">
        <v>45708</v>
      </c>
      <c r="B60" s="12">
        <v>9875</v>
      </c>
      <c r="C60" s="13" t="s">
        <v>43</v>
      </c>
      <c r="D60" s="12">
        <v>564</v>
      </c>
      <c r="E60" s="12">
        <v>564</v>
      </c>
      <c r="F60" s="12"/>
      <c r="G60" s="12"/>
      <c r="H60" s="12" t="s">
        <v>10</v>
      </c>
      <c r="I60" s="14">
        <f>SUM(E60:E68)</f>
        <v>5268</v>
      </c>
    </row>
    <row r="61" spans="1:9">
      <c r="A61" s="8">
        <v>45708</v>
      </c>
      <c r="B61" s="12">
        <v>875</v>
      </c>
      <c r="C61" s="13" t="s">
        <v>42</v>
      </c>
      <c r="D61" s="12">
        <v>320</v>
      </c>
      <c r="E61" s="12">
        <v>320</v>
      </c>
      <c r="F61" s="12"/>
      <c r="G61" s="12"/>
      <c r="H61" s="12" t="s">
        <v>10</v>
      </c>
      <c r="I61" s="14"/>
    </row>
    <row r="62" spans="1:9">
      <c r="A62" s="8">
        <v>45708</v>
      </c>
      <c r="B62" s="12">
        <v>813</v>
      </c>
      <c r="C62" s="13" t="s">
        <v>49</v>
      </c>
      <c r="D62" s="12">
        <v>1128</v>
      </c>
      <c r="E62" s="12">
        <v>1128</v>
      </c>
      <c r="F62" s="12"/>
      <c r="G62" s="12"/>
      <c r="H62" s="12" t="s">
        <v>10</v>
      </c>
      <c r="I62" s="14"/>
    </row>
    <row r="63" spans="1:9">
      <c r="A63" s="8">
        <v>45708</v>
      </c>
      <c r="B63" s="12">
        <v>9810</v>
      </c>
      <c r="C63" s="13" t="s">
        <v>35</v>
      </c>
      <c r="D63" s="12">
        <v>472</v>
      </c>
      <c r="E63" s="12">
        <v>472</v>
      </c>
      <c r="F63" s="12"/>
      <c r="G63" s="12"/>
      <c r="H63" s="12" t="s">
        <v>10</v>
      </c>
      <c r="I63" s="14"/>
    </row>
    <row r="64" spans="1:9">
      <c r="A64" s="8">
        <v>45708</v>
      </c>
      <c r="B64" s="12">
        <v>896</v>
      </c>
      <c r="C64" s="13" t="s">
        <v>31</v>
      </c>
      <c r="D64" s="12">
        <v>550</v>
      </c>
      <c r="E64" s="12">
        <v>550</v>
      </c>
      <c r="F64" s="12"/>
      <c r="G64" s="12"/>
      <c r="H64" s="12" t="s">
        <v>10</v>
      </c>
      <c r="I64" s="14"/>
    </row>
    <row r="65" spans="1:9">
      <c r="A65" s="8">
        <v>45708</v>
      </c>
      <c r="B65" s="12">
        <v>880</v>
      </c>
      <c r="C65" s="13" t="s">
        <v>32</v>
      </c>
      <c r="D65" s="12">
        <v>365</v>
      </c>
      <c r="E65" s="12">
        <v>365</v>
      </c>
      <c r="F65" s="12"/>
      <c r="G65" s="12"/>
      <c r="H65" s="12" t="s">
        <v>10</v>
      </c>
      <c r="I65" s="14"/>
    </row>
    <row r="66" spans="1:9">
      <c r="A66" s="8">
        <v>45708</v>
      </c>
      <c r="B66" s="12">
        <v>809</v>
      </c>
      <c r="C66" s="13" t="s">
        <v>38</v>
      </c>
      <c r="D66" s="12">
        <v>780</v>
      </c>
      <c r="E66" s="12">
        <v>780</v>
      </c>
      <c r="F66" s="12"/>
      <c r="G66" s="12"/>
      <c r="H66" s="12" t="s">
        <v>10</v>
      </c>
      <c r="I66" s="14"/>
    </row>
    <row r="67" spans="1:9">
      <c r="A67" s="8">
        <v>45708</v>
      </c>
      <c r="B67" s="12">
        <v>613</v>
      </c>
      <c r="C67" s="13" t="s">
        <v>39</v>
      </c>
      <c r="D67" s="12">
        <v>768</v>
      </c>
      <c r="E67" s="12">
        <v>768</v>
      </c>
      <c r="F67" s="12"/>
      <c r="G67" s="12"/>
      <c r="H67" s="12" t="s">
        <v>10</v>
      </c>
      <c r="I67" s="14"/>
    </row>
    <row r="68" spans="1:9">
      <c r="A68" s="8">
        <v>45708</v>
      </c>
      <c r="B68" s="12">
        <v>609</v>
      </c>
      <c r="C68" s="13" t="s">
        <v>33</v>
      </c>
      <c r="D68" s="12">
        <v>321</v>
      </c>
      <c r="E68" s="12">
        <v>321</v>
      </c>
      <c r="F68" s="12"/>
      <c r="G68" s="12"/>
      <c r="H68" s="12" t="s">
        <v>10</v>
      </c>
      <c r="I68" s="14"/>
    </row>
    <row r="69" spans="1:9">
      <c r="A69" s="8">
        <v>45709</v>
      </c>
      <c r="B69" s="12">
        <v>9875</v>
      </c>
      <c r="C69" s="13" t="s">
        <v>43</v>
      </c>
      <c r="D69" s="12">
        <v>392</v>
      </c>
      <c r="E69" s="12">
        <v>392</v>
      </c>
      <c r="F69" s="12"/>
      <c r="G69" s="12"/>
      <c r="H69" s="12" t="s">
        <v>10</v>
      </c>
      <c r="I69" s="14">
        <f>SUM(E69:E72)</f>
        <v>1568</v>
      </c>
    </row>
    <row r="70" spans="1:9">
      <c r="A70" s="8">
        <v>45709</v>
      </c>
      <c r="B70" s="12">
        <v>875</v>
      </c>
      <c r="C70" s="13" t="s">
        <v>42</v>
      </c>
      <c r="D70" s="12">
        <v>344</v>
      </c>
      <c r="E70" s="12">
        <v>344</v>
      </c>
      <c r="F70" s="12"/>
      <c r="G70" s="12"/>
      <c r="H70" s="12" t="s">
        <v>10</v>
      </c>
      <c r="I70" s="14"/>
    </row>
    <row r="71" spans="1:9">
      <c r="A71" s="8">
        <v>45709</v>
      </c>
      <c r="B71" s="12">
        <v>810</v>
      </c>
      <c r="C71" s="13" t="s">
        <v>34</v>
      </c>
      <c r="D71" s="12">
        <v>396</v>
      </c>
      <c r="E71" s="12">
        <v>396</v>
      </c>
      <c r="F71" s="12"/>
      <c r="G71" s="12"/>
      <c r="H71" s="12" t="s">
        <v>10</v>
      </c>
      <c r="I71" s="14"/>
    </row>
    <row r="72" spans="1:9">
      <c r="A72" s="8">
        <v>45709</v>
      </c>
      <c r="B72" s="12">
        <v>609</v>
      </c>
      <c r="C72" s="13" t="s">
        <v>33</v>
      </c>
      <c r="D72" s="12">
        <v>436</v>
      </c>
      <c r="E72" s="12">
        <v>436</v>
      </c>
      <c r="F72" s="12"/>
      <c r="G72" s="12"/>
      <c r="H72" s="12" t="s">
        <v>10</v>
      </c>
      <c r="I72" s="14"/>
    </row>
    <row r="73" spans="1:9">
      <c r="A73" s="8">
        <v>45710</v>
      </c>
      <c r="B73" s="12">
        <v>9875</v>
      </c>
      <c r="C73" s="13" t="s">
        <v>43</v>
      </c>
      <c r="D73" s="12">
        <v>560</v>
      </c>
      <c r="E73" s="12">
        <v>560</v>
      </c>
      <c r="F73" s="12"/>
      <c r="G73" s="12"/>
      <c r="H73" s="12" t="s">
        <v>10</v>
      </c>
      <c r="I73" s="14">
        <f>SUM(E73:E78)</f>
        <v>2216</v>
      </c>
    </row>
    <row r="74" spans="1:9">
      <c r="A74" s="8">
        <v>45710</v>
      </c>
      <c r="B74" s="12">
        <v>875</v>
      </c>
      <c r="C74" s="13" t="s">
        <v>42</v>
      </c>
      <c r="D74" s="12">
        <v>348</v>
      </c>
      <c r="E74" s="12">
        <v>348</v>
      </c>
      <c r="F74" s="12"/>
      <c r="G74" s="12"/>
      <c r="H74" s="12" t="s">
        <v>10</v>
      </c>
      <c r="I74" s="14"/>
    </row>
    <row r="75" spans="1:9">
      <c r="A75" s="8">
        <v>45710</v>
      </c>
      <c r="B75" s="12">
        <v>807</v>
      </c>
      <c r="C75" s="13" t="s">
        <v>52</v>
      </c>
      <c r="D75" s="12">
        <v>276</v>
      </c>
      <c r="E75" s="12">
        <v>276</v>
      </c>
      <c r="F75" s="12"/>
      <c r="G75" s="12"/>
      <c r="H75" s="12" t="s">
        <v>10</v>
      </c>
      <c r="I75" s="14"/>
    </row>
    <row r="76" spans="1:9">
      <c r="A76" s="8">
        <v>45710</v>
      </c>
      <c r="B76" s="12">
        <v>609</v>
      </c>
      <c r="C76" s="13" t="s">
        <v>33</v>
      </c>
      <c r="D76" s="12">
        <v>402</v>
      </c>
      <c r="E76" s="12">
        <v>402</v>
      </c>
      <c r="F76" s="12"/>
      <c r="G76" s="12"/>
      <c r="H76" s="12" t="s">
        <v>10</v>
      </c>
      <c r="I76" s="14"/>
    </row>
    <row r="77" spans="1:9">
      <c r="A77" s="8">
        <v>45710</v>
      </c>
      <c r="B77" s="12">
        <v>896</v>
      </c>
      <c r="C77" s="13" t="s">
        <v>31</v>
      </c>
      <c r="D77" s="12">
        <v>342</v>
      </c>
      <c r="E77" s="12">
        <v>342</v>
      </c>
      <c r="F77" s="12"/>
      <c r="G77" s="12"/>
      <c r="H77" s="12" t="s">
        <v>10</v>
      </c>
      <c r="I77" s="14"/>
    </row>
    <row r="78" spans="1:9">
      <c r="A78" s="8">
        <v>45710</v>
      </c>
      <c r="B78" s="12">
        <v>880</v>
      </c>
      <c r="C78" s="13" t="s">
        <v>32</v>
      </c>
      <c r="D78" s="12">
        <v>288</v>
      </c>
      <c r="E78" s="12">
        <v>288</v>
      </c>
      <c r="F78" s="12"/>
      <c r="G78" s="12"/>
      <c r="H78" s="12" t="s">
        <v>10</v>
      </c>
      <c r="I78" s="14"/>
    </row>
    <row r="79" spans="1:9">
      <c r="A79" s="8">
        <v>45711</v>
      </c>
      <c r="B79" s="12">
        <v>818</v>
      </c>
      <c r="C79" s="13" t="s">
        <v>37</v>
      </c>
      <c r="D79" s="12">
        <v>273</v>
      </c>
      <c r="E79" s="12">
        <v>273</v>
      </c>
      <c r="F79" s="12"/>
      <c r="G79" s="12"/>
      <c r="H79" s="12" t="s">
        <v>10</v>
      </c>
      <c r="I79" s="14">
        <f>SUM(E79:E94)</f>
        <v>3636</v>
      </c>
    </row>
    <row r="80" spans="1:9">
      <c r="A80" s="8">
        <v>45711</v>
      </c>
      <c r="B80" s="12">
        <v>899</v>
      </c>
      <c r="C80" s="13" t="s">
        <v>134</v>
      </c>
      <c r="D80" s="12">
        <v>183</v>
      </c>
      <c r="E80" s="12">
        <v>183</v>
      </c>
      <c r="F80" s="12"/>
      <c r="G80" s="12"/>
      <c r="H80" s="12" t="s">
        <v>10</v>
      </c>
      <c r="I80" s="14"/>
    </row>
    <row r="81" spans="1:9">
      <c r="A81" s="8">
        <v>45711</v>
      </c>
      <c r="B81" s="12">
        <v>817</v>
      </c>
      <c r="C81" s="13" t="s">
        <v>36</v>
      </c>
      <c r="D81" s="12">
        <v>90</v>
      </c>
      <c r="E81" s="12">
        <v>90</v>
      </c>
      <c r="F81" s="12"/>
      <c r="G81" s="12"/>
      <c r="H81" s="12" t="s">
        <v>10</v>
      </c>
      <c r="I81" s="14"/>
    </row>
    <row r="82" spans="1:9">
      <c r="A82" s="8">
        <v>45711</v>
      </c>
      <c r="B82" s="12">
        <v>613</v>
      </c>
      <c r="C82" s="13" t="s">
        <v>39</v>
      </c>
      <c r="D82" s="12">
        <v>328</v>
      </c>
      <c r="E82" s="12">
        <v>328</v>
      </c>
      <c r="F82" s="12"/>
      <c r="G82" s="12"/>
      <c r="H82" s="12" t="s">
        <v>10</v>
      </c>
      <c r="I82" s="14"/>
    </row>
    <row r="83" spans="1:9">
      <c r="A83" s="8">
        <v>45711</v>
      </c>
      <c r="B83" s="12">
        <v>871</v>
      </c>
      <c r="C83" s="13" t="s">
        <v>63</v>
      </c>
      <c r="D83" s="12">
        <v>288</v>
      </c>
      <c r="E83" s="12">
        <v>288</v>
      </c>
      <c r="F83" s="12"/>
      <c r="G83" s="12"/>
      <c r="H83" s="12" t="s">
        <v>10</v>
      </c>
      <c r="I83" s="14"/>
    </row>
    <row r="84" spans="1:9">
      <c r="A84" s="8">
        <v>45711</v>
      </c>
      <c r="B84" s="12">
        <v>9875</v>
      </c>
      <c r="C84" s="13" t="s">
        <v>43</v>
      </c>
      <c r="D84" s="12">
        <v>316</v>
      </c>
      <c r="E84" s="12">
        <v>316</v>
      </c>
      <c r="F84" s="12"/>
      <c r="G84" s="12"/>
      <c r="H84" s="12" t="s">
        <v>10</v>
      </c>
      <c r="I84" s="14"/>
    </row>
    <row r="85" spans="1:9">
      <c r="A85" s="8">
        <v>45711</v>
      </c>
      <c r="B85" s="12">
        <v>9810</v>
      </c>
      <c r="C85" s="13" t="s">
        <v>35</v>
      </c>
      <c r="D85" s="12">
        <v>31</v>
      </c>
      <c r="E85" s="12">
        <v>31</v>
      </c>
      <c r="F85" s="12"/>
      <c r="G85" s="12"/>
      <c r="H85" s="12" t="s">
        <v>10</v>
      </c>
      <c r="I85" s="14"/>
    </row>
    <row r="86" spans="1:9">
      <c r="A86" s="8">
        <v>45711</v>
      </c>
      <c r="B86" s="12">
        <v>810</v>
      </c>
      <c r="C86" s="13" t="s">
        <v>34</v>
      </c>
      <c r="D86" s="12">
        <v>31</v>
      </c>
      <c r="E86" s="12">
        <v>31</v>
      </c>
      <c r="F86" s="12"/>
      <c r="G86" s="12"/>
      <c r="H86" s="12" t="s">
        <v>10</v>
      </c>
      <c r="I86" s="14"/>
    </row>
    <row r="87" spans="1:9">
      <c r="A87" s="8">
        <v>45711</v>
      </c>
      <c r="B87" s="12">
        <v>880</v>
      </c>
      <c r="C87" s="13" t="s">
        <v>32</v>
      </c>
      <c r="D87" s="12">
        <v>31</v>
      </c>
      <c r="E87" s="12">
        <v>31</v>
      </c>
      <c r="F87" s="12"/>
      <c r="G87" s="12"/>
      <c r="H87" s="12" t="s">
        <v>10</v>
      </c>
      <c r="I87" s="14"/>
    </row>
    <row r="88" spans="1:9">
      <c r="A88" s="8">
        <v>45711</v>
      </c>
      <c r="B88" s="12">
        <v>813</v>
      </c>
      <c r="C88" s="13" t="s">
        <v>49</v>
      </c>
      <c r="D88" s="12">
        <v>31</v>
      </c>
      <c r="E88" s="12">
        <v>31</v>
      </c>
      <c r="F88" s="12"/>
      <c r="G88" s="12"/>
      <c r="H88" s="12" t="s">
        <v>10</v>
      </c>
      <c r="I88" s="14"/>
    </row>
    <row r="89" spans="1:9">
      <c r="A89" s="8">
        <v>45711</v>
      </c>
      <c r="B89" s="12">
        <v>813</v>
      </c>
      <c r="C89" s="13" t="s">
        <v>49</v>
      </c>
      <c r="D89" s="12">
        <v>624</v>
      </c>
      <c r="E89" s="12">
        <v>624</v>
      </c>
      <c r="F89" s="12"/>
      <c r="G89" s="12"/>
      <c r="H89" s="12" t="s">
        <v>10</v>
      </c>
      <c r="I89" s="14"/>
    </row>
    <row r="90" spans="1:9">
      <c r="A90" s="8">
        <v>45711</v>
      </c>
      <c r="B90" s="12">
        <v>823</v>
      </c>
      <c r="C90" s="13" t="s">
        <v>139</v>
      </c>
      <c r="D90" s="12">
        <v>96</v>
      </c>
      <c r="E90" s="12">
        <v>96</v>
      </c>
      <c r="F90" s="12"/>
      <c r="G90" s="12"/>
      <c r="H90" s="12" t="s">
        <v>10</v>
      </c>
      <c r="I90" s="14"/>
    </row>
    <row r="91" spans="1:9">
      <c r="A91" s="8">
        <v>45711</v>
      </c>
      <c r="B91" s="12">
        <v>9810</v>
      </c>
      <c r="C91" s="13" t="s">
        <v>35</v>
      </c>
      <c r="D91" s="12">
        <v>297</v>
      </c>
      <c r="E91" s="12">
        <v>297</v>
      </c>
      <c r="F91" s="12"/>
      <c r="G91" s="12"/>
      <c r="H91" s="12" t="s">
        <v>10</v>
      </c>
      <c r="I91" s="14"/>
    </row>
    <row r="92" spans="1:9">
      <c r="A92" s="8">
        <v>45711</v>
      </c>
      <c r="B92" s="12">
        <v>888</v>
      </c>
      <c r="C92" s="13" t="s">
        <v>135</v>
      </c>
      <c r="D92" s="12">
        <v>237</v>
      </c>
      <c r="E92" s="12">
        <v>237</v>
      </c>
      <c r="F92" s="12"/>
      <c r="G92" s="12"/>
      <c r="H92" s="12" t="s">
        <v>10</v>
      </c>
      <c r="I92" s="14"/>
    </row>
    <row r="93" spans="1:9">
      <c r="A93" s="8">
        <v>45711</v>
      </c>
      <c r="B93" s="12">
        <v>826</v>
      </c>
      <c r="C93" s="13" t="s">
        <v>146</v>
      </c>
      <c r="D93" s="12">
        <v>390</v>
      </c>
      <c r="E93" s="12">
        <v>390</v>
      </c>
      <c r="F93" s="12"/>
      <c r="G93" s="12"/>
      <c r="H93" s="12" t="s">
        <v>10</v>
      </c>
      <c r="I93" s="14"/>
    </row>
    <row r="94" spans="1:9">
      <c r="A94" s="8">
        <v>45711</v>
      </c>
      <c r="B94" s="12">
        <v>828</v>
      </c>
      <c r="C94" s="13" t="s">
        <v>51</v>
      </c>
      <c r="D94" s="12">
        <v>390</v>
      </c>
      <c r="E94" s="12">
        <v>390</v>
      </c>
      <c r="F94" s="12"/>
      <c r="G94" s="12"/>
      <c r="H94" s="12" t="s">
        <v>10</v>
      </c>
      <c r="I94" s="14"/>
    </row>
    <row r="95" spans="1:9">
      <c r="A95" s="8">
        <v>45712</v>
      </c>
      <c r="B95" s="12">
        <v>880</v>
      </c>
      <c r="C95" s="13" t="s">
        <v>32</v>
      </c>
      <c r="D95" s="12">
        <v>304</v>
      </c>
      <c r="E95" s="12">
        <v>304</v>
      </c>
      <c r="F95" s="12"/>
      <c r="G95" s="12"/>
      <c r="H95" s="12" t="s">
        <v>10</v>
      </c>
      <c r="I95" s="14">
        <f>SUM(E95:E110)</f>
        <v>4365</v>
      </c>
    </row>
    <row r="96" spans="1:9">
      <c r="A96" s="8">
        <v>45712</v>
      </c>
      <c r="B96" s="12">
        <v>896</v>
      </c>
      <c r="C96" s="13" t="s">
        <v>31</v>
      </c>
      <c r="D96" s="12">
        <v>300</v>
      </c>
      <c r="E96" s="12">
        <v>300</v>
      </c>
      <c r="F96" s="12"/>
      <c r="G96" s="12"/>
      <c r="H96" s="12" t="s">
        <v>10</v>
      </c>
      <c r="I96" s="14"/>
    </row>
    <row r="97" spans="1:9">
      <c r="A97" s="8">
        <v>45712</v>
      </c>
      <c r="B97" s="12">
        <v>609</v>
      </c>
      <c r="C97" s="13" t="s">
        <v>33</v>
      </c>
      <c r="D97" s="12">
        <v>296</v>
      </c>
      <c r="E97" s="12">
        <v>296</v>
      </c>
      <c r="F97" s="12"/>
      <c r="G97" s="12"/>
      <c r="H97" s="12" t="s">
        <v>10</v>
      </c>
      <c r="I97" s="14"/>
    </row>
    <row r="98" spans="1:9">
      <c r="A98" s="8">
        <v>45712</v>
      </c>
      <c r="B98" s="12">
        <v>880</v>
      </c>
      <c r="C98" s="13" t="s">
        <v>32</v>
      </c>
      <c r="D98" s="12">
        <v>372</v>
      </c>
      <c r="E98" s="12">
        <v>372</v>
      </c>
      <c r="F98" s="12"/>
      <c r="G98" s="12"/>
      <c r="H98" s="12" t="s">
        <v>10</v>
      </c>
      <c r="I98" s="14"/>
    </row>
    <row r="99" spans="1:9">
      <c r="A99" s="8">
        <v>45712</v>
      </c>
      <c r="B99" s="12">
        <v>896</v>
      </c>
      <c r="C99" s="13" t="s">
        <v>31</v>
      </c>
      <c r="D99" s="12">
        <v>168</v>
      </c>
      <c r="E99" s="12">
        <v>168</v>
      </c>
      <c r="F99" s="12"/>
      <c r="G99" s="12"/>
      <c r="H99" s="12" t="s">
        <v>10</v>
      </c>
      <c r="I99" s="14"/>
    </row>
    <row r="100" spans="1:9">
      <c r="A100" s="8">
        <v>45712</v>
      </c>
      <c r="B100" s="12">
        <v>9810</v>
      </c>
      <c r="C100" s="13" t="s">
        <v>35</v>
      </c>
      <c r="D100" s="12">
        <v>396</v>
      </c>
      <c r="E100" s="12">
        <v>396</v>
      </c>
      <c r="F100" s="12"/>
      <c r="G100" s="12"/>
      <c r="H100" s="12" t="s">
        <v>10</v>
      </c>
      <c r="I100" s="14"/>
    </row>
    <row r="101" spans="1:9">
      <c r="A101" s="8">
        <v>45712</v>
      </c>
      <c r="B101" s="12">
        <v>823</v>
      </c>
      <c r="C101" s="13" t="s">
        <v>139</v>
      </c>
      <c r="D101" s="12">
        <v>4</v>
      </c>
      <c r="E101" s="12">
        <v>4</v>
      </c>
      <c r="F101" s="12"/>
      <c r="G101" s="12"/>
      <c r="H101" s="12" t="s">
        <v>10</v>
      </c>
      <c r="I101" s="14"/>
    </row>
    <row r="102" spans="1:9">
      <c r="A102" s="8">
        <v>45712</v>
      </c>
      <c r="B102" s="12">
        <v>817</v>
      </c>
      <c r="C102" s="13" t="s">
        <v>36</v>
      </c>
      <c r="D102" s="12">
        <v>300</v>
      </c>
      <c r="E102" s="12">
        <v>300</v>
      </c>
      <c r="F102" s="12"/>
      <c r="G102" s="12"/>
      <c r="H102" s="12" t="s">
        <v>10</v>
      </c>
      <c r="I102" s="14"/>
    </row>
    <row r="103" spans="1:9">
      <c r="A103" s="8">
        <v>45712</v>
      </c>
      <c r="B103" s="12">
        <v>818</v>
      </c>
      <c r="C103" s="13" t="s">
        <v>37</v>
      </c>
      <c r="D103" s="12">
        <v>340</v>
      </c>
      <c r="E103" s="12">
        <v>340</v>
      </c>
      <c r="F103" s="12"/>
      <c r="G103" s="12"/>
      <c r="H103" s="12" t="s">
        <v>10</v>
      </c>
      <c r="I103" s="14"/>
    </row>
    <row r="104" spans="1:9">
      <c r="A104" s="8">
        <v>45712</v>
      </c>
      <c r="B104" s="12">
        <v>887</v>
      </c>
      <c r="C104" s="13" t="s">
        <v>138</v>
      </c>
      <c r="D104" s="12">
        <v>340</v>
      </c>
      <c r="E104" s="12">
        <v>340</v>
      </c>
      <c r="F104" s="12"/>
      <c r="G104" s="12"/>
      <c r="H104" s="12" t="s">
        <v>10</v>
      </c>
      <c r="I104" s="14"/>
    </row>
    <row r="105" spans="1:9">
      <c r="A105" s="8">
        <v>45712</v>
      </c>
      <c r="B105" s="12">
        <v>899</v>
      </c>
      <c r="C105" s="13" t="s">
        <v>134</v>
      </c>
      <c r="D105" s="12">
        <v>174</v>
      </c>
      <c r="E105" s="12">
        <v>174</v>
      </c>
      <c r="F105" s="12"/>
      <c r="G105" s="12"/>
      <c r="H105" s="12" t="s">
        <v>10</v>
      </c>
      <c r="I105" s="14"/>
    </row>
    <row r="106" spans="1:9">
      <c r="A106" s="8">
        <v>45712</v>
      </c>
      <c r="B106" s="12">
        <v>809</v>
      </c>
      <c r="C106" s="13" t="s">
        <v>38</v>
      </c>
      <c r="D106" s="12">
        <v>756</v>
      </c>
      <c r="E106" s="12">
        <v>756</v>
      </c>
      <c r="F106" s="12"/>
      <c r="G106" s="12"/>
      <c r="H106" s="12" t="s">
        <v>10</v>
      </c>
      <c r="I106" s="14"/>
    </row>
    <row r="107" spans="1:9">
      <c r="A107" s="8">
        <v>45712</v>
      </c>
      <c r="B107" s="12">
        <v>885</v>
      </c>
      <c r="C107" s="13" t="s">
        <v>48</v>
      </c>
      <c r="D107" s="12">
        <v>292</v>
      </c>
      <c r="E107" s="12">
        <v>292</v>
      </c>
      <c r="F107" s="12"/>
      <c r="G107" s="12"/>
      <c r="H107" s="12" t="s">
        <v>10</v>
      </c>
      <c r="I107" s="14"/>
    </row>
    <row r="108" spans="1:9">
      <c r="A108" s="8">
        <v>45712</v>
      </c>
      <c r="B108" s="12">
        <v>871</v>
      </c>
      <c r="C108" s="13" t="s">
        <v>63</v>
      </c>
      <c r="D108" s="12">
        <v>308</v>
      </c>
      <c r="E108" s="12">
        <v>308</v>
      </c>
      <c r="F108" s="12"/>
      <c r="G108" s="12"/>
      <c r="H108" s="12" t="s">
        <v>10</v>
      </c>
      <c r="I108" s="14"/>
    </row>
    <row r="109" spans="1:9">
      <c r="A109" s="8">
        <v>45712</v>
      </c>
      <c r="B109" s="12">
        <v>813</v>
      </c>
      <c r="C109" s="13" t="s">
        <v>49</v>
      </c>
      <c r="D109" s="12">
        <v>10</v>
      </c>
      <c r="E109" s="12">
        <v>10</v>
      </c>
      <c r="F109" s="12"/>
      <c r="G109" s="12"/>
      <c r="H109" s="12" t="s">
        <v>10</v>
      </c>
      <c r="I109" s="14"/>
    </row>
    <row r="110" spans="1:9">
      <c r="A110" s="8">
        <v>45712</v>
      </c>
      <c r="B110" s="12">
        <v>807</v>
      </c>
      <c r="C110" s="13" t="s">
        <v>52</v>
      </c>
      <c r="D110" s="12">
        <v>5</v>
      </c>
      <c r="E110" s="12">
        <v>5</v>
      </c>
      <c r="F110" s="12"/>
      <c r="G110" s="12"/>
      <c r="H110" s="12" t="s">
        <v>10</v>
      </c>
      <c r="I110" s="14"/>
    </row>
    <row r="111" spans="1:9">
      <c r="A111" s="8">
        <v>45713</v>
      </c>
      <c r="B111" s="12">
        <v>876</v>
      </c>
      <c r="C111" s="13" t="s">
        <v>150</v>
      </c>
      <c r="D111" s="12">
        <v>472</v>
      </c>
      <c r="E111" s="12">
        <v>472</v>
      </c>
      <c r="F111" s="12"/>
      <c r="G111" s="12"/>
      <c r="H111" s="12" t="s">
        <v>10</v>
      </c>
      <c r="I111" s="14">
        <f>SUM(E111:E122)</f>
        <v>3152</v>
      </c>
    </row>
    <row r="112" spans="1:9">
      <c r="A112" s="8">
        <v>45713</v>
      </c>
      <c r="B112" s="12">
        <v>9875</v>
      </c>
      <c r="C112" s="13" t="s">
        <v>43</v>
      </c>
      <c r="D112" s="12">
        <v>224</v>
      </c>
      <c r="E112" s="12">
        <v>224</v>
      </c>
      <c r="F112" s="12"/>
      <c r="G112" s="12"/>
      <c r="H112" s="12" t="s">
        <v>10</v>
      </c>
      <c r="I112" s="14"/>
    </row>
    <row r="113" spans="1:9">
      <c r="A113" s="8">
        <v>45713</v>
      </c>
      <c r="B113" s="12">
        <v>609</v>
      </c>
      <c r="C113" s="13" t="s">
        <v>33</v>
      </c>
      <c r="D113" s="12">
        <v>306</v>
      </c>
      <c r="E113" s="12">
        <v>306</v>
      </c>
      <c r="F113" s="12"/>
      <c r="G113" s="12"/>
      <c r="H113" s="12" t="s">
        <v>10</v>
      </c>
      <c r="I113" s="14"/>
    </row>
    <row r="114" spans="1:9">
      <c r="A114" s="8">
        <v>45713</v>
      </c>
      <c r="B114" s="12">
        <v>9810</v>
      </c>
      <c r="C114" s="13" t="s">
        <v>35</v>
      </c>
      <c r="D114" s="12">
        <v>308</v>
      </c>
      <c r="E114" s="12">
        <v>308</v>
      </c>
      <c r="F114" s="12"/>
      <c r="G114" s="12"/>
      <c r="H114" s="12" t="s">
        <v>10</v>
      </c>
      <c r="I114" s="14"/>
    </row>
    <row r="115" spans="1:9">
      <c r="A115" s="8">
        <v>45713</v>
      </c>
      <c r="B115" s="12">
        <v>809</v>
      </c>
      <c r="C115" s="13" t="s">
        <v>38</v>
      </c>
      <c r="D115" s="12">
        <v>464</v>
      </c>
      <c r="E115" s="12">
        <v>464</v>
      </c>
      <c r="F115" s="12"/>
      <c r="G115" s="12"/>
      <c r="H115" s="12" t="s">
        <v>10</v>
      </c>
      <c r="I115" s="14"/>
    </row>
    <row r="116" spans="1:9">
      <c r="A116" s="8">
        <v>45713</v>
      </c>
      <c r="B116" s="12">
        <v>880</v>
      </c>
      <c r="C116" s="13" t="s">
        <v>32</v>
      </c>
      <c r="D116" s="12">
        <v>222</v>
      </c>
      <c r="E116" s="12">
        <v>222</v>
      </c>
      <c r="F116" s="12"/>
      <c r="G116" s="12"/>
      <c r="H116" s="12" t="s">
        <v>10</v>
      </c>
      <c r="I116" s="14"/>
    </row>
    <row r="117" spans="1:9">
      <c r="A117" s="8">
        <v>45713</v>
      </c>
      <c r="B117" s="12">
        <v>827</v>
      </c>
      <c r="C117" s="13" t="s">
        <v>50</v>
      </c>
      <c r="D117" s="12">
        <v>222</v>
      </c>
      <c r="E117" s="12">
        <v>222</v>
      </c>
      <c r="F117" s="12"/>
      <c r="G117" s="12"/>
      <c r="H117" s="12" t="s">
        <v>10</v>
      </c>
      <c r="I117" s="14"/>
    </row>
    <row r="118" spans="1:9">
      <c r="A118" s="8">
        <v>45713</v>
      </c>
      <c r="B118" s="12">
        <v>828</v>
      </c>
      <c r="C118" s="13" t="s">
        <v>51</v>
      </c>
      <c r="D118" s="12">
        <v>222</v>
      </c>
      <c r="E118" s="12">
        <v>222</v>
      </c>
      <c r="F118" s="12"/>
      <c r="G118" s="12"/>
      <c r="H118" s="12" t="s">
        <v>10</v>
      </c>
      <c r="I118" s="14"/>
    </row>
    <row r="119" spans="1:9">
      <c r="A119" s="8">
        <v>45713</v>
      </c>
      <c r="B119" s="12">
        <v>826</v>
      </c>
      <c r="C119" s="13" t="s">
        <v>146</v>
      </c>
      <c r="D119" s="12">
        <v>324</v>
      </c>
      <c r="E119" s="12">
        <v>324</v>
      </c>
      <c r="F119" s="12"/>
      <c r="G119" s="12"/>
      <c r="H119" s="12" t="s">
        <v>10</v>
      </c>
      <c r="I119" s="14"/>
    </row>
    <row r="120" spans="1:9">
      <c r="A120" s="8">
        <v>45713</v>
      </c>
      <c r="B120" s="12">
        <v>828</v>
      </c>
      <c r="C120" s="13" t="s">
        <v>51</v>
      </c>
      <c r="D120" s="12">
        <v>324</v>
      </c>
      <c r="E120" s="12">
        <v>324</v>
      </c>
      <c r="F120" s="12"/>
      <c r="G120" s="12"/>
      <c r="H120" s="12" t="s">
        <v>10</v>
      </c>
      <c r="I120" s="14"/>
    </row>
    <row r="121" spans="1:9">
      <c r="A121" s="8">
        <v>45713</v>
      </c>
      <c r="B121" s="12">
        <v>831</v>
      </c>
      <c r="C121" s="13" t="s">
        <v>151</v>
      </c>
      <c r="D121" s="12">
        <v>32</v>
      </c>
      <c r="E121" s="12">
        <v>32</v>
      </c>
      <c r="F121" s="12"/>
      <c r="G121" s="12"/>
      <c r="H121" s="12" t="s">
        <v>10</v>
      </c>
      <c r="I121" s="14"/>
    </row>
    <row r="122" spans="1:9">
      <c r="A122" s="8">
        <v>45713</v>
      </c>
      <c r="B122" s="12">
        <v>832</v>
      </c>
      <c r="C122" s="13" t="s">
        <v>140</v>
      </c>
      <c r="D122" s="12">
        <v>32</v>
      </c>
      <c r="E122" s="12">
        <v>32</v>
      </c>
      <c r="F122" s="12"/>
      <c r="G122" s="12"/>
      <c r="H122" s="12" t="s">
        <v>10</v>
      </c>
      <c r="I122" s="14"/>
    </row>
    <row r="123" spans="1:9">
      <c r="A123" s="8">
        <v>45714</v>
      </c>
      <c r="B123" s="12">
        <v>609</v>
      </c>
      <c r="C123" s="13" t="s">
        <v>33</v>
      </c>
      <c r="D123" s="12">
        <v>327</v>
      </c>
      <c r="E123" s="12">
        <v>327</v>
      </c>
      <c r="F123" s="12"/>
      <c r="G123" s="12"/>
      <c r="H123" s="12" t="s">
        <v>10</v>
      </c>
      <c r="I123" s="14">
        <f>SUM(E123:E129)</f>
        <v>2906</v>
      </c>
    </row>
    <row r="124" spans="1:9">
      <c r="A124" s="8">
        <v>45714</v>
      </c>
      <c r="B124" s="12">
        <v>9810</v>
      </c>
      <c r="C124" s="13" t="s">
        <v>35</v>
      </c>
      <c r="D124" s="12">
        <v>484</v>
      </c>
      <c r="E124" s="12">
        <v>484</v>
      </c>
      <c r="F124" s="12"/>
      <c r="G124" s="12"/>
      <c r="H124" s="12" t="s">
        <v>10</v>
      </c>
      <c r="I124" s="14"/>
    </row>
    <row r="125" spans="1:9">
      <c r="A125" s="8">
        <v>45714</v>
      </c>
      <c r="B125" s="12">
        <v>813</v>
      </c>
      <c r="C125" s="13" t="s">
        <v>49</v>
      </c>
      <c r="D125" s="12">
        <v>492</v>
      </c>
      <c r="E125" s="12">
        <v>492</v>
      </c>
      <c r="F125" s="12"/>
      <c r="G125" s="12"/>
      <c r="H125" s="12" t="s">
        <v>10</v>
      </c>
      <c r="I125" s="14"/>
    </row>
    <row r="126" spans="1:9">
      <c r="A126" s="8">
        <v>45714</v>
      </c>
      <c r="B126" s="12">
        <v>9875</v>
      </c>
      <c r="C126" s="13" t="s">
        <v>43</v>
      </c>
      <c r="D126" s="12">
        <v>512</v>
      </c>
      <c r="E126" s="12">
        <v>512</v>
      </c>
      <c r="F126" s="12"/>
      <c r="G126" s="12"/>
      <c r="H126" s="12" t="s">
        <v>10</v>
      </c>
      <c r="I126" s="14"/>
    </row>
    <row r="127" spans="1:9">
      <c r="A127" s="8">
        <v>45714</v>
      </c>
      <c r="B127" s="12">
        <v>875</v>
      </c>
      <c r="C127" s="13" t="s">
        <v>42</v>
      </c>
      <c r="D127" s="12">
        <v>320</v>
      </c>
      <c r="E127" s="12">
        <v>320</v>
      </c>
      <c r="F127" s="12"/>
      <c r="G127" s="12"/>
      <c r="H127" s="12" t="s">
        <v>10</v>
      </c>
      <c r="I127" s="14"/>
    </row>
    <row r="128" spans="1:9">
      <c r="A128" s="8">
        <v>45714</v>
      </c>
      <c r="B128" s="12">
        <v>807</v>
      </c>
      <c r="C128" s="13" t="s">
        <v>52</v>
      </c>
      <c r="D128" s="12">
        <v>183</v>
      </c>
      <c r="E128" s="12">
        <v>183</v>
      </c>
      <c r="F128" s="12"/>
      <c r="G128" s="12"/>
      <c r="H128" s="12" t="s">
        <v>10</v>
      </c>
      <c r="I128" s="14"/>
    </row>
    <row r="129" spans="1:9">
      <c r="A129" s="8">
        <v>45714</v>
      </c>
      <c r="B129" s="12">
        <v>880</v>
      </c>
      <c r="C129" s="13" t="s">
        <v>32</v>
      </c>
      <c r="D129" s="12">
        <v>588</v>
      </c>
      <c r="E129" s="12">
        <v>588</v>
      </c>
      <c r="F129" s="12"/>
      <c r="G129" s="12"/>
      <c r="H129" s="12" t="s">
        <v>10</v>
      </c>
      <c r="I129" s="14"/>
    </row>
    <row r="130" spans="1:9">
      <c r="A130" s="8">
        <v>45715</v>
      </c>
      <c r="B130" s="12">
        <v>807</v>
      </c>
      <c r="C130" s="13" t="s">
        <v>52</v>
      </c>
      <c r="D130" s="12">
        <v>492</v>
      </c>
      <c r="E130" s="12">
        <v>492</v>
      </c>
      <c r="F130" s="12"/>
      <c r="G130" s="12"/>
      <c r="H130" s="12" t="s">
        <v>10</v>
      </c>
      <c r="I130" s="14">
        <f>SUM(E130:E141)</f>
        <v>5320</v>
      </c>
    </row>
    <row r="131" spans="1:9">
      <c r="A131" s="8">
        <v>45715</v>
      </c>
      <c r="B131" s="12">
        <v>613</v>
      </c>
      <c r="C131" s="13" t="s">
        <v>39</v>
      </c>
      <c r="D131" s="12">
        <v>512</v>
      </c>
      <c r="E131" s="12">
        <v>512</v>
      </c>
      <c r="F131" s="12"/>
      <c r="G131" s="12"/>
      <c r="H131" s="12" t="s">
        <v>10</v>
      </c>
      <c r="I131" s="14"/>
    </row>
    <row r="132" spans="1:9">
      <c r="A132" s="8">
        <v>45715</v>
      </c>
      <c r="B132" s="12">
        <v>885</v>
      </c>
      <c r="C132" s="13" t="s">
        <v>48</v>
      </c>
      <c r="D132" s="12">
        <v>328</v>
      </c>
      <c r="E132" s="12">
        <v>328</v>
      </c>
      <c r="F132" s="12"/>
      <c r="G132" s="12"/>
      <c r="H132" s="12" t="s">
        <v>10</v>
      </c>
      <c r="I132" s="14"/>
    </row>
    <row r="133" spans="1:9">
      <c r="A133" s="8">
        <v>45715</v>
      </c>
      <c r="B133" s="12">
        <v>809</v>
      </c>
      <c r="C133" s="13" t="s">
        <v>38</v>
      </c>
      <c r="D133" s="12">
        <v>280</v>
      </c>
      <c r="E133" s="12">
        <v>280</v>
      </c>
      <c r="F133" s="12"/>
      <c r="G133" s="12"/>
      <c r="H133" s="12" t="s">
        <v>10</v>
      </c>
      <c r="I133" s="14"/>
    </row>
    <row r="134" spans="1:9">
      <c r="A134" s="8">
        <v>45715</v>
      </c>
      <c r="B134" s="12">
        <v>810</v>
      </c>
      <c r="C134" s="13" t="s">
        <v>34</v>
      </c>
      <c r="D134" s="12">
        <v>768</v>
      </c>
      <c r="E134" s="12">
        <v>768</v>
      </c>
      <c r="F134" s="12"/>
      <c r="G134" s="12"/>
      <c r="H134" s="12" t="s">
        <v>10</v>
      </c>
      <c r="I134" s="14"/>
    </row>
    <row r="135" spans="1:9">
      <c r="A135" s="8">
        <v>45715</v>
      </c>
      <c r="B135" s="12">
        <v>888</v>
      </c>
      <c r="C135" s="13" t="s">
        <v>135</v>
      </c>
      <c r="D135" s="12">
        <v>424</v>
      </c>
      <c r="E135" s="12">
        <v>424</v>
      </c>
      <c r="F135" s="12"/>
      <c r="G135" s="12"/>
      <c r="H135" s="12" t="s">
        <v>10</v>
      </c>
      <c r="I135" s="14"/>
    </row>
    <row r="136" spans="1:9">
      <c r="A136" s="8">
        <v>45715</v>
      </c>
      <c r="B136" s="12">
        <v>880</v>
      </c>
      <c r="C136" s="13" t="s">
        <v>32</v>
      </c>
      <c r="D136" s="12">
        <v>272</v>
      </c>
      <c r="E136" s="12">
        <v>272</v>
      </c>
      <c r="F136" s="12"/>
      <c r="G136" s="12"/>
      <c r="H136" s="12" t="s">
        <v>10</v>
      </c>
      <c r="I136" s="14"/>
    </row>
    <row r="137" spans="1:9">
      <c r="A137" s="8">
        <v>45715</v>
      </c>
      <c r="B137" s="12">
        <v>896</v>
      </c>
      <c r="C137" s="13" t="s">
        <v>31</v>
      </c>
      <c r="D137" s="12">
        <v>272</v>
      </c>
      <c r="E137" s="12">
        <v>272</v>
      </c>
      <c r="F137" s="12"/>
      <c r="G137" s="12"/>
      <c r="H137" s="12" t="s">
        <v>10</v>
      </c>
      <c r="I137" s="14"/>
    </row>
    <row r="138" spans="1:9">
      <c r="A138" s="8">
        <v>45715</v>
      </c>
      <c r="B138" s="12">
        <v>609</v>
      </c>
      <c r="C138" s="13" t="s">
        <v>33</v>
      </c>
      <c r="D138" s="12">
        <v>352</v>
      </c>
      <c r="E138" s="12">
        <v>352</v>
      </c>
      <c r="F138" s="12"/>
      <c r="G138" s="12"/>
      <c r="H138" s="12" t="s">
        <v>10</v>
      </c>
      <c r="I138" s="14"/>
    </row>
    <row r="139" spans="1:9">
      <c r="A139" s="8">
        <v>45715</v>
      </c>
      <c r="B139" s="12">
        <v>9875</v>
      </c>
      <c r="C139" s="13" t="s">
        <v>43</v>
      </c>
      <c r="D139" s="12">
        <v>780</v>
      </c>
      <c r="E139" s="12">
        <v>780</v>
      </c>
      <c r="F139" s="12"/>
      <c r="G139" s="12"/>
      <c r="H139" s="12" t="s">
        <v>10</v>
      </c>
      <c r="I139" s="14"/>
    </row>
    <row r="140" spans="1:9">
      <c r="A140" s="8">
        <v>45715</v>
      </c>
      <c r="B140" s="12">
        <v>831</v>
      </c>
      <c r="C140" s="13" t="s">
        <v>151</v>
      </c>
      <c r="D140" s="12">
        <v>420</v>
      </c>
      <c r="E140" s="12">
        <v>420</v>
      </c>
      <c r="F140" s="12"/>
      <c r="G140" s="12"/>
      <c r="H140" s="12" t="s">
        <v>10</v>
      </c>
      <c r="I140" s="14"/>
    </row>
    <row r="141" spans="1:9">
      <c r="A141" s="8">
        <v>45715</v>
      </c>
      <c r="B141" s="12">
        <v>832</v>
      </c>
      <c r="C141" s="13" t="s">
        <v>140</v>
      </c>
      <c r="D141" s="12">
        <v>420</v>
      </c>
      <c r="E141" s="12">
        <v>420</v>
      </c>
      <c r="F141" s="12"/>
      <c r="G141" s="12"/>
      <c r="H141" s="12" t="s">
        <v>10</v>
      </c>
      <c r="I141" s="14"/>
    </row>
    <row r="142" spans="1:9">
      <c r="A142" s="8">
        <v>45716</v>
      </c>
      <c r="B142" s="12">
        <v>613</v>
      </c>
      <c r="C142" s="13" t="s">
        <v>39</v>
      </c>
      <c r="D142" s="12">
        <v>392</v>
      </c>
      <c r="E142" s="12">
        <v>392</v>
      </c>
      <c r="F142" s="12"/>
      <c r="G142" s="12"/>
      <c r="H142" s="12" t="s">
        <v>10</v>
      </c>
      <c r="I142" s="14">
        <f>SUM(E142:E149)</f>
        <v>2881</v>
      </c>
    </row>
    <row r="143" spans="1:9">
      <c r="A143" s="8">
        <v>45716</v>
      </c>
      <c r="B143" s="12">
        <v>807</v>
      </c>
      <c r="C143" s="13" t="s">
        <v>52</v>
      </c>
      <c r="D143" s="12">
        <v>376</v>
      </c>
      <c r="E143" s="12">
        <v>376</v>
      </c>
      <c r="F143" s="12"/>
      <c r="G143" s="12"/>
      <c r="H143" s="12" t="s">
        <v>10</v>
      </c>
      <c r="I143" s="14"/>
    </row>
    <row r="144" spans="1:9">
      <c r="A144" s="8">
        <v>45716</v>
      </c>
      <c r="B144" s="12">
        <v>875</v>
      </c>
      <c r="C144" s="13" t="s">
        <v>42</v>
      </c>
      <c r="D144" s="12">
        <v>316</v>
      </c>
      <c r="E144" s="12">
        <v>316</v>
      </c>
      <c r="F144" s="12"/>
      <c r="G144" s="12"/>
      <c r="H144" s="12" t="s">
        <v>10</v>
      </c>
      <c r="I144" s="14"/>
    </row>
    <row r="145" spans="1:10">
      <c r="A145" s="8">
        <v>45716</v>
      </c>
      <c r="B145" s="12">
        <v>818</v>
      </c>
      <c r="C145" s="13" t="s">
        <v>37</v>
      </c>
      <c r="D145" s="12">
        <v>364</v>
      </c>
      <c r="E145" s="12">
        <v>364</v>
      </c>
      <c r="F145" s="12"/>
      <c r="G145" s="12"/>
      <c r="H145" s="12" t="s">
        <v>10</v>
      </c>
      <c r="I145" s="14"/>
    </row>
    <row r="146" spans="1:10">
      <c r="A146" s="8">
        <v>45716</v>
      </c>
      <c r="B146" s="12">
        <v>817</v>
      </c>
      <c r="C146" s="13" t="s">
        <v>36</v>
      </c>
      <c r="D146" s="12">
        <v>296</v>
      </c>
      <c r="E146" s="12">
        <v>296</v>
      </c>
      <c r="F146" s="12"/>
      <c r="G146" s="12"/>
      <c r="H146" s="12" t="s">
        <v>10</v>
      </c>
      <c r="I146" s="14"/>
    </row>
    <row r="147" spans="1:10">
      <c r="A147" s="8">
        <v>45716</v>
      </c>
      <c r="B147" s="12">
        <v>896</v>
      </c>
      <c r="C147" s="13" t="s">
        <v>31</v>
      </c>
      <c r="D147" s="12">
        <v>240</v>
      </c>
      <c r="E147" s="12">
        <v>240</v>
      </c>
      <c r="F147" s="12"/>
      <c r="G147" s="12"/>
      <c r="H147" s="12" t="s">
        <v>10</v>
      </c>
      <c r="I147" s="14"/>
    </row>
    <row r="148" spans="1:10">
      <c r="A148" s="8">
        <v>45716</v>
      </c>
      <c r="B148" s="12">
        <v>601</v>
      </c>
      <c r="C148" s="13" t="s">
        <v>145</v>
      </c>
      <c r="D148" s="12">
        <v>141</v>
      </c>
      <c r="E148" s="12">
        <v>141</v>
      </c>
      <c r="F148" s="12"/>
      <c r="G148" s="12"/>
      <c r="H148" s="12" t="s">
        <v>10</v>
      </c>
      <c r="I148" s="14"/>
    </row>
    <row r="149" spans="1:10">
      <c r="A149" s="8">
        <v>45716</v>
      </c>
      <c r="B149" s="15">
        <v>9875</v>
      </c>
      <c r="C149" s="16" t="s">
        <v>43</v>
      </c>
      <c r="D149" s="15">
        <v>756</v>
      </c>
      <c r="E149" s="15">
        <v>756</v>
      </c>
      <c r="F149" s="15"/>
      <c r="G149" s="15"/>
      <c r="H149" s="15" t="s">
        <v>10</v>
      </c>
      <c r="I149" s="17"/>
    </row>
    <row r="150" spans="1:10">
      <c r="J150" s="1">
        <f>SUM(I1:I149)</f>
        <v>50685</v>
      </c>
    </row>
    <row r="151" spans="1:10">
      <c r="J151">
        <f>J150*0.05</f>
        <v>2534.25</v>
      </c>
    </row>
  </sheetData>
  <mergeCells count="18">
    <mergeCell ref="I2:I4"/>
    <mergeCell ref="I5:I8"/>
    <mergeCell ref="I9:I15"/>
    <mergeCell ref="I16:I20"/>
    <mergeCell ref="I21:I32"/>
    <mergeCell ref="I33:I38"/>
    <mergeCell ref="I39:I48"/>
    <mergeCell ref="I49:I51"/>
    <mergeCell ref="I52:I59"/>
    <mergeCell ref="I60:I68"/>
    <mergeCell ref="I69:I72"/>
    <mergeCell ref="I73:I78"/>
    <mergeCell ref="I79:I94"/>
    <mergeCell ref="I95:I110"/>
    <mergeCell ref="I111:I122"/>
    <mergeCell ref="I123:I129"/>
    <mergeCell ref="I130:I141"/>
    <mergeCell ref="I142:I14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74" zoomScaleNormal="74" workbookViewId="0">
      <pane ySplit="1" topLeftCell="A2" activePane="bottomLeft" state="frozen"/>
      <selection/>
      <selection pane="bottomLeft" activeCell="A17" sqref="A17"/>
    </sheetView>
  </sheetViews>
  <sheetFormatPr defaultColWidth="10" defaultRowHeight="13.5"/>
  <cols>
    <col min="1" max="1" width="7.28333333333333" style="1" customWidth="1"/>
    <col min="2" max="2" width="5.35833333333333" style="1" customWidth="1"/>
    <col min="3" max="3" width="6.14166666666667" style="2" customWidth="1"/>
    <col min="4" max="7" width="9.28333333333333" style="1" customWidth="1"/>
    <col min="8" max="8" width="5.14166666666667" style="1" customWidth="1"/>
    <col min="9" max="9" width="5.35833333333333" style="1" customWidth="1"/>
  </cols>
  <sheetData>
    <row r="1" spans="1:1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7"/>
      <c r="L1" s="7"/>
      <c r="M1" s="7"/>
      <c r="N1" s="7"/>
      <c r="O1" s="7"/>
      <c r="P1" s="7"/>
    </row>
    <row r="2" spans="1:16">
      <c r="A2" s="8">
        <v>45659</v>
      </c>
      <c r="B2" s="9">
        <v>609</v>
      </c>
      <c r="C2" s="10" t="s">
        <v>33</v>
      </c>
      <c r="D2" s="9">
        <v>372</v>
      </c>
      <c r="E2" s="9">
        <v>372</v>
      </c>
      <c r="F2" s="9"/>
      <c r="G2" s="9"/>
      <c r="H2" s="9" t="s">
        <v>10</v>
      </c>
      <c r="I2" s="11">
        <f>SUM(E2:E10)</f>
        <v>1707</v>
      </c>
    </row>
    <row r="3" spans="1:16">
      <c r="A3" s="8">
        <v>45659</v>
      </c>
      <c r="B3" s="12">
        <v>880</v>
      </c>
      <c r="C3" s="13" t="s">
        <v>32</v>
      </c>
      <c r="D3" s="12">
        <v>372</v>
      </c>
      <c r="E3" s="12">
        <v>372</v>
      </c>
      <c r="F3" s="12"/>
      <c r="G3" s="12"/>
      <c r="H3" s="12" t="s">
        <v>10</v>
      </c>
      <c r="I3" s="14"/>
    </row>
    <row r="4" spans="1:16">
      <c r="A4" s="8">
        <v>45659</v>
      </c>
      <c r="B4" s="12">
        <v>1861</v>
      </c>
      <c r="C4" s="13" t="s">
        <v>14</v>
      </c>
      <c r="D4" s="12">
        <v>117</v>
      </c>
      <c r="E4" s="12">
        <v>117</v>
      </c>
      <c r="F4" s="12"/>
      <c r="G4" s="12"/>
      <c r="H4" s="12" t="s">
        <v>10</v>
      </c>
      <c r="I4" s="14"/>
    </row>
    <row r="5" spans="1:16">
      <c r="A5" s="8">
        <v>45659</v>
      </c>
      <c r="B5" s="12">
        <v>965</v>
      </c>
      <c r="C5" s="13" t="s">
        <v>28</v>
      </c>
      <c r="D5" s="12">
        <v>48</v>
      </c>
      <c r="E5" s="12">
        <v>48</v>
      </c>
      <c r="F5" s="12"/>
      <c r="G5" s="12"/>
      <c r="H5" s="12" t="s">
        <v>10</v>
      </c>
      <c r="I5" s="14"/>
    </row>
    <row r="6" spans="1:16">
      <c r="A6" s="8">
        <v>45659</v>
      </c>
      <c r="B6" s="12">
        <v>813</v>
      </c>
      <c r="C6" s="13" t="s">
        <v>49</v>
      </c>
      <c r="D6" s="12">
        <v>504</v>
      </c>
      <c r="E6" s="12">
        <v>504</v>
      </c>
      <c r="F6" s="12"/>
      <c r="G6" s="12"/>
      <c r="H6" s="12" t="s">
        <v>10</v>
      </c>
      <c r="I6" s="14"/>
    </row>
    <row r="7" spans="1:16">
      <c r="A7" s="8">
        <v>45659</v>
      </c>
      <c r="B7" s="12">
        <v>1812</v>
      </c>
      <c r="C7" s="13" t="s">
        <v>154</v>
      </c>
      <c r="D7" s="12">
        <v>69</v>
      </c>
      <c r="E7" s="12">
        <v>69</v>
      </c>
      <c r="F7" s="12"/>
      <c r="G7" s="12"/>
      <c r="H7" s="12" t="s">
        <v>10</v>
      </c>
      <c r="I7" s="14"/>
    </row>
    <row r="8" spans="1:16">
      <c r="A8" s="8">
        <v>45659</v>
      </c>
      <c r="B8" s="12">
        <v>1813</v>
      </c>
      <c r="C8" s="13" t="s">
        <v>155</v>
      </c>
      <c r="D8" s="12">
        <v>57</v>
      </c>
      <c r="E8" s="12">
        <v>57</v>
      </c>
      <c r="F8" s="12"/>
      <c r="G8" s="12"/>
      <c r="H8" s="12" t="s">
        <v>10</v>
      </c>
      <c r="I8" s="14"/>
    </row>
    <row r="9" spans="1:16">
      <c r="A9" s="8">
        <v>45659</v>
      </c>
      <c r="B9" s="12">
        <v>8010</v>
      </c>
      <c r="C9" s="13" t="s">
        <v>156</v>
      </c>
      <c r="D9" s="12">
        <v>112</v>
      </c>
      <c r="E9" s="12">
        <v>112</v>
      </c>
      <c r="F9" s="12"/>
      <c r="G9" s="12"/>
      <c r="H9" s="12" t="s">
        <v>10</v>
      </c>
      <c r="I9" s="14"/>
    </row>
    <row r="10" spans="1:16">
      <c r="A10" s="8">
        <v>45659</v>
      </c>
      <c r="B10" s="12">
        <v>8012</v>
      </c>
      <c r="C10" s="13" t="s">
        <v>157</v>
      </c>
      <c r="D10" s="12">
        <v>56</v>
      </c>
      <c r="E10" s="12">
        <v>56</v>
      </c>
      <c r="F10" s="12"/>
      <c r="G10" s="12"/>
      <c r="H10" s="12" t="s">
        <v>10</v>
      </c>
      <c r="I10" s="14"/>
    </row>
    <row r="11" spans="1:16">
      <c r="A11" s="8">
        <v>45660</v>
      </c>
      <c r="B11" s="12">
        <v>981</v>
      </c>
      <c r="C11" s="13" t="s">
        <v>13</v>
      </c>
      <c r="D11" s="12">
        <v>28</v>
      </c>
      <c r="E11" s="12">
        <v>28</v>
      </c>
      <c r="F11" s="12"/>
      <c r="G11" s="12"/>
      <c r="H11" s="12" t="s">
        <v>10</v>
      </c>
      <c r="I11" s="14">
        <f>SUM(E11:E22)</f>
        <v>648</v>
      </c>
    </row>
    <row r="12" spans="1:16">
      <c r="A12" s="8">
        <v>45660</v>
      </c>
      <c r="B12" s="12">
        <v>625</v>
      </c>
      <c r="C12" s="13" t="s">
        <v>12</v>
      </c>
      <c r="D12" s="12">
        <v>20</v>
      </c>
      <c r="E12" s="12">
        <v>20</v>
      </c>
      <c r="F12" s="12"/>
      <c r="G12" s="12"/>
      <c r="H12" s="12" t="s">
        <v>10</v>
      </c>
      <c r="I12" s="14"/>
    </row>
    <row r="13" spans="1:16">
      <c r="A13" s="8">
        <v>45660</v>
      </c>
      <c r="B13" s="12">
        <v>978</v>
      </c>
      <c r="C13" s="13" t="s">
        <v>25</v>
      </c>
      <c r="D13" s="12">
        <v>74</v>
      </c>
      <c r="E13" s="12">
        <v>74</v>
      </c>
      <c r="F13" s="12"/>
      <c r="G13" s="12"/>
      <c r="H13" s="12" t="s">
        <v>10</v>
      </c>
      <c r="I13" s="14"/>
    </row>
    <row r="14" spans="1:16">
      <c r="A14" s="8">
        <v>45660</v>
      </c>
      <c r="B14" s="12">
        <v>962</v>
      </c>
      <c r="C14" s="13" t="s">
        <v>19</v>
      </c>
      <c r="D14" s="12">
        <v>56</v>
      </c>
      <c r="E14" s="12">
        <v>56</v>
      </c>
      <c r="F14" s="12"/>
      <c r="G14" s="12"/>
      <c r="H14" s="12" t="s">
        <v>10</v>
      </c>
      <c r="I14" s="14"/>
    </row>
    <row r="15" spans="1:16">
      <c r="A15" s="8">
        <v>45660</v>
      </c>
      <c r="B15" s="12">
        <v>963</v>
      </c>
      <c r="C15" s="13" t="s">
        <v>18</v>
      </c>
      <c r="D15" s="12">
        <v>64</v>
      </c>
      <c r="E15" s="12">
        <v>64</v>
      </c>
      <c r="F15" s="12"/>
      <c r="G15" s="12"/>
      <c r="H15" s="12" t="s">
        <v>10</v>
      </c>
      <c r="I15" s="14"/>
    </row>
    <row r="16" spans="1:16">
      <c r="A16" s="8">
        <v>45660</v>
      </c>
      <c r="B16" s="12">
        <v>983</v>
      </c>
      <c r="C16" s="13" t="s">
        <v>158</v>
      </c>
      <c r="D16" s="12">
        <v>20</v>
      </c>
      <c r="E16" s="12">
        <v>20</v>
      </c>
      <c r="F16" s="12"/>
      <c r="G16" s="12"/>
      <c r="H16" s="12" t="s">
        <v>10</v>
      </c>
      <c r="I16" s="14"/>
    </row>
    <row r="17" spans="1:9">
      <c r="A17" s="8">
        <v>45660</v>
      </c>
      <c r="B17" s="12">
        <v>909</v>
      </c>
      <c r="C17" s="13" t="s">
        <v>11</v>
      </c>
      <c r="D17" s="12">
        <v>235</v>
      </c>
      <c r="E17" s="12">
        <v>235</v>
      </c>
      <c r="F17" s="12"/>
      <c r="G17" s="12"/>
      <c r="H17" s="12" t="s">
        <v>10</v>
      </c>
      <c r="I17" s="14"/>
    </row>
    <row r="18" spans="1:9">
      <c r="A18" s="8">
        <v>45660</v>
      </c>
      <c r="B18" s="12">
        <v>908</v>
      </c>
      <c r="C18" s="13" t="s">
        <v>23</v>
      </c>
      <c r="D18" s="12">
        <v>25</v>
      </c>
      <c r="E18" s="12">
        <v>25</v>
      </c>
      <c r="F18" s="12"/>
      <c r="G18" s="12"/>
      <c r="H18" s="12" t="s">
        <v>10</v>
      </c>
      <c r="I18" s="14"/>
    </row>
    <row r="19" spans="1:9">
      <c r="A19" s="8">
        <v>45660</v>
      </c>
      <c r="B19" s="12">
        <v>8010</v>
      </c>
      <c r="C19" s="13" t="s">
        <v>156</v>
      </c>
      <c r="D19" s="12">
        <v>56</v>
      </c>
      <c r="E19" s="12">
        <v>56</v>
      </c>
      <c r="F19" s="12"/>
      <c r="G19" s="12"/>
      <c r="H19" s="12" t="s">
        <v>10</v>
      </c>
      <c r="I19" s="14"/>
    </row>
    <row r="20" spans="1:9">
      <c r="A20" s="8">
        <v>45660</v>
      </c>
      <c r="B20" s="12">
        <v>1812</v>
      </c>
      <c r="C20" s="13" t="s">
        <v>154</v>
      </c>
      <c r="D20" s="12">
        <v>20</v>
      </c>
      <c r="E20" s="12">
        <v>20</v>
      </c>
      <c r="F20" s="12"/>
      <c r="G20" s="12"/>
      <c r="H20" s="12" t="s">
        <v>10</v>
      </c>
      <c r="I20" s="14"/>
    </row>
    <row r="21" spans="1:9">
      <c r="A21" s="8">
        <v>45660</v>
      </c>
      <c r="B21" s="12">
        <v>1813</v>
      </c>
      <c r="C21" s="13" t="s">
        <v>155</v>
      </c>
      <c r="D21" s="12">
        <v>20</v>
      </c>
      <c r="E21" s="12">
        <v>20</v>
      </c>
      <c r="F21" s="12"/>
      <c r="G21" s="12"/>
      <c r="H21" s="12" t="s">
        <v>10</v>
      </c>
      <c r="I21" s="14"/>
    </row>
    <row r="22" spans="1:9">
      <c r="A22" s="8">
        <v>45660</v>
      </c>
      <c r="B22" s="12">
        <v>1861</v>
      </c>
      <c r="C22" s="13" t="s">
        <v>14</v>
      </c>
      <c r="D22" s="12">
        <v>30</v>
      </c>
      <c r="E22" s="12">
        <v>30</v>
      </c>
      <c r="F22" s="12"/>
      <c r="G22" s="12"/>
      <c r="H22" s="12" t="s">
        <v>10</v>
      </c>
      <c r="I22" s="14"/>
    </row>
    <row r="23" spans="1:9">
      <c r="A23" s="8">
        <v>45661</v>
      </c>
      <c r="B23" s="12">
        <v>987</v>
      </c>
      <c r="C23" s="13" t="s">
        <v>16</v>
      </c>
      <c r="D23" s="12">
        <v>90</v>
      </c>
      <c r="E23" s="12">
        <v>90</v>
      </c>
      <c r="F23" s="12"/>
      <c r="G23" s="12"/>
      <c r="H23" s="12" t="s">
        <v>10</v>
      </c>
      <c r="I23" s="14">
        <f>SUM(E23:E33,)</f>
        <v>675</v>
      </c>
    </row>
    <row r="24" spans="1:9">
      <c r="A24" s="8">
        <v>45661</v>
      </c>
      <c r="B24" s="12">
        <v>983</v>
      </c>
      <c r="C24" s="13" t="s">
        <v>158</v>
      </c>
      <c r="D24" s="12">
        <v>56</v>
      </c>
      <c r="E24" s="12">
        <v>56</v>
      </c>
      <c r="F24" s="12"/>
      <c r="G24" s="12"/>
      <c r="H24" s="12" t="s">
        <v>10</v>
      </c>
      <c r="I24" s="14"/>
    </row>
    <row r="25" spans="1:9">
      <c r="A25" s="8">
        <v>45661</v>
      </c>
      <c r="B25" s="12">
        <v>962</v>
      </c>
      <c r="C25" s="13" t="s">
        <v>19</v>
      </c>
      <c r="D25" s="12">
        <v>44</v>
      </c>
      <c r="E25" s="12">
        <v>44</v>
      </c>
      <c r="F25" s="12"/>
      <c r="G25" s="12"/>
      <c r="H25" s="12" t="s">
        <v>10</v>
      </c>
      <c r="I25" s="14"/>
    </row>
    <row r="26" spans="1:9">
      <c r="A26" s="8">
        <v>45661</v>
      </c>
      <c r="B26" s="12">
        <v>965</v>
      </c>
      <c r="C26" s="13" t="s">
        <v>28</v>
      </c>
      <c r="D26" s="12">
        <v>110</v>
      </c>
      <c r="E26" s="12">
        <v>110</v>
      </c>
      <c r="F26" s="12"/>
      <c r="G26" s="12"/>
      <c r="H26" s="12" t="s">
        <v>10</v>
      </c>
      <c r="I26" s="14"/>
    </row>
    <row r="27" spans="1:9">
      <c r="A27" s="8">
        <v>45661</v>
      </c>
      <c r="B27" s="12">
        <v>985</v>
      </c>
      <c r="C27" s="13" t="s">
        <v>26</v>
      </c>
      <c r="D27" s="12">
        <v>20</v>
      </c>
      <c r="E27" s="12">
        <v>20</v>
      </c>
      <c r="F27" s="12"/>
      <c r="G27" s="12"/>
      <c r="H27" s="12" t="s">
        <v>10</v>
      </c>
      <c r="I27" s="14"/>
    </row>
    <row r="28" spans="1:9">
      <c r="A28" s="8">
        <v>45661</v>
      </c>
      <c r="B28" s="12">
        <v>1813</v>
      </c>
      <c r="C28" s="13" t="s">
        <v>155</v>
      </c>
      <c r="D28" s="12">
        <v>39</v>
      </c>
      <c r="E28" s="12">
        <v>39</v>
      </c>
      <c r="F28" s="12"/>
      <c r="G28" s="12"/>
      <c r="H28" s="12" t="s">
        <v>10</v>
      </c>
      <c r="I28" s="14"/>
    </row>
    <row r="29" spans="1:9">
      <c r="A29" s="8">
        <v>45661</v>
      </c>
      <c r="B29" s="12">
        <v>928</v>
      </c>
      <c r="C29" s="13" t="s">
        <v>159</v>
      </c>
      <c r="D29" s="12">
        <v>110</v>
      </c>
      <c r="E29" s="12">
        <v>110</v>
      </c>
      <c r="F29" s="12"/>
      <c r="G29" s="12"/>
      <c r="H29" s="12" t="s">
        <v>10</v>
      </c>
      <c r="I29" s="14"/>
    </row>
    <row r="30" spans="1:9">
      <c r="A30" s="8">
        <v>45661</v>
      </c>
      <c r="B30" s="12">
        <v>625</v>
      </c>
      <c r="C30" s="13" t="s">
        <v>12</v>
      </c>
      <c r="D30" s="12">
        <v>82</v>
      </c>
      <c r="E30" s="12">
        <v>82</v>
      </c>
      <c r="F30" s="12"/>
      <c r="G30" s="12"/>
      <c r="H30" s="12" t="s">
        <v>10</v>
      </c>
      <c r="I30" s="14"/>
    </row>
    <row r="31" spans="1:9">
      <c r="A31" s="8">
        <v>45661</v>
      </c>
      <c r="B31" s="12">
        <v>968</v>
      </c>
      <c r="C31" s="13" t="s">
        <v>160</v>
      </c>
      <c r="D31" s="12">
        <v>62</v>
      </c>
      <c r="E31" s="12">
        <v>62</v>
      </c>
      <c r="F31" s="12"/>
      <c r="G31" s="12"/>
      <c r="H31" s="12" t="s">
        <v>10</v>
      </c>
      <c r="I31" s="14"/>
    </row>
    <row r="32" spans="1:9">
      <c r="A32" s="8">
        <v>45661</v>
      </c>
      <c r="B32" s="12">
        <v>909</v>
      </c>
      <c r="C32" s="13" t="s">
        <v>11</v>
      </c>
      <c r="D32" s="12">
        <v>46</v>
      </c>
      <c r="E32" s="12">
        <v>46</v>
      </c>
      <c r="F32" s="12"/>
      <c r="G32" s="12"/>
      <c r="H32" s="12" t="s">
        <v>10</v>
      </c>
      <c r="I32" s="14"/>
    </row>
    <row r="33" spans="1:9">
      <c r="A33" s="8">
        <v>45661</v>
      </c>
      <c r="B33" s="15">
        <v>627</v>
      </c>
      <c r="C33" s="16" t="s">
        <v>71</v>
      </c>
      <c r="D33" s="15">
        <v>16</v>
      </c>
      <c r="E33" s="15">
        <v>16</v>
      </c>
      <c r="F33" s="15"/>
      <c r="G33" s="15"/>
      <c r="H33" s="15" t="s">
        <v>10</v>
      </c>
      <c r="I33" s="17"/>
    </row>
    <row r="34" spans="1:9">
      <c r="A34" s="8">
        <v>45663</v>
      </c>
      <c r="B34" s="1">
        <v>8010</v>
      </c>
      <c r="C34" s="18" t="s">
        <v>156</v>
      </c>
      <c r="D34" s="1">
        <v>300</v>
      </c>
      <c r="E34" s="1">
        <v>300</v>
      </c>
      <c r="H34" s="15" t="s">
        <v>10</v>
      </c>
      <c r="I34" s="1">
        <f>SUM(I2:I33)</f>
        <v>3030</v>
      </c>
    </row>
  </sheetData>
  <autoFilter xmlns:etc="http://www.wps.cn/officeDocument/2017/etCustomData" ref="A1:I34" etc:filterBottomFollowUsedRange="0">
    <extLst/>
  </autoFilter>
  <mergeCells count="3">
    <mergeCell ref="I2:I10"/>
    <mergeCell ref="I11:I22"/>
    <mergeCell ref="I23:I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25年12月</vt:lpstr>
      <vt:lpstr>25年11月</vt:lpstr>
      <vt:lpstr>25年10月</vt:lpstr>
      <vt:lpstr>25年9月</vt:lpstr>
      <vt:lpstr>25年8月</vt:lpstr>
      <vt:lpstr>25年7月</vt:lpstr>
      <vt:lpstr>25年6月</vt:lpstr>
      <vt:lpstr>25年5月</vt:lpstr>
      <vt:lpstr>25年4月</vt:lpstr>
      <vt:lpstr>25年3月</vt:lpstr>
      <vt:lpstr>25年2月</vt:lpstr>
      <vt:lpstr>25年1月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K20 Pro</dc:creator>
  <cp:lastModifiedBy>Kwan</cp:lastModifiedBy>
  <dcterms:created xsi:type="dcterms:W3CDTF">2024-03-06T12:40:00Z</dcterms:created>
  <dcterms:modified xsi:type="dcterms:W3CDTF">2026-06-18T02:26:05Z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4A63E7055623451A95FBE3609FAA8BBE_13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